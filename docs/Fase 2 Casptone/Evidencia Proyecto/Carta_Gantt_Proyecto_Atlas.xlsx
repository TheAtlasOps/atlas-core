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ander\Desktop\Archivos\Duoc Uc\Proyecto Atlas\atlas-core\docs\Fase 2 Casptone\Evidencia Proyecto\"/>
    </mc:Choice>
  </mc:AlternateContent>
  <xr:revisionPtr revIDLastSave="0" documentId="13_ncr:1_{112F9DAB-671D-4975-B525-5AEC2469CA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ta Gantt ATLAS" sheetId="1" r:id="rId1"/>
    <sheet name="Hitos y Entregables Clave" sheetId="2" r:id="rId2"/>
    <sheet name="Métricas Kanban y Gobernanz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" i="1" l="1"/>
  <c r="H32" i="1"/>
</calcChain>
</file>

<file path=xl/sharedStrings.xml><?xml version="1.0" encoding="utf-8"?>
<sst xmlns="http://schemas.openxmlformats.org/spreadsheetml/2006/main" count="388" uniqueCount="326">
  <si>
    <t>PROYECTO ATLAS - SISTEMA DE GESTIÓN Y DESPACHO DE SERVICIOS EN TERRENO (ENTEL B2B)</t>
  </si>
  <si>
    <t>PLANIFICACIÓN OPERATIVA Y METODOLOGÍA KANBAN | CARTA GANTT SEMANAL (10/AGOSTO/2026 - 30/NOVIEMBRE/2026)</t>
  </si>
  <si>
    <t>Duoc UC - Escuela de Informática y Telecomunicaciones | Proyecto Capstone APT122 | Docente Guía: Claudia Silva | Patrocinador: Entel B2B</t>
  </si>
  <si>
    <t>Equipo de Proyecto: Alexander Sáez (FullStack &amp; DBA Lead) | Diego Jiménez (Frontend &amp; QA Lead) | Jorge Morales (Scrum Master &amp; DevOps) | Matías Tapia (Backend &amp; Cloud)</t>
  </si>
  <si>
    <t>📅 Inicio: 10-Ago-2026</t>
  </si>
  <si>
    <t>⏱ Fecha Corte: 22-Oct-2026 (Semana 11 - 90%)</t>
  </si>
  <si>
    <t>★ Hito 1 (Profesora): 16-Nov-2026</t>
  </si>
  <si>
    <t>🏆 Hito 2 (Comisión Final): 30-Nov-2026</t>
  </si>
  <si>
    <t>Leyenda: [■ Azul] Completado (100%) | [■ Naranja] En Curso (S11) | [■ Celeste] Planificado | [★ Rojo] Hito Docente | [🏆 Morado] Comisión</t>
  </si>
  <si>
    <t>ID</t>
  </si>
  <si>
    <t>Fase / Macro-Etapa</t>
  </si>
  <si>
    <t>Actividad / Entregable Específico</t>
  </si>
  <si>
    <t>Metodología / Práctica Ágil</t>
  </si>
  <si>
    <t>Responsable</t>
  </si>
  <si>
    <t>Inicio</t>
  </si>
  <si>
    <t>Fin</t>
  </si>
  <si>
    <t>Días</t>
  </si>
  <si>
    <t>Estado</t>
  </si>
  <si>
    <t>% Avance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</si>
  <si>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</si>
  <si>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</si>
  <si>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</si>
  <si>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</si>
  <si>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</si>
  <si>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</si>
  <si>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</si>
  <si>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</si>
  <si>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</si>
  <si>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</si>
  <si>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S11*</t>
  </si>
  <si>
    <t>S12</t>
  </si>
  <si>
    <t>S13</t>
  </si>
  <si>
    <t>S14</t>
  </si>
  <si>
    <t>S15★</t>
  </si>
  <si>
    <t>S16</t>
  </si>
  <si>
    <t>S17🏆</t>
  </si>
  <si>
    <t>10/08 - 16/08</t>
  </si>
  <si>
    <t>17/08 - 23/08</t>
  </si>
  <si>
    <t>24/08 - 30/08</t>
  </si>
  <si>
    <t>31/08 - 06/09</t>
  </si>
  <si>
    <t>07/09 - 13/09</t>
  </si>
  <si>
    <t>14/09 - 20/09</t>
  </si>
  <si>
    <t>21/09 - 27/09</t>
  </si>
  <si>
    <t>28/09 - 04/10</t>
  </si>
  <si>
    <t>05/10 - 11/10</t>
  </si>
  <si>
    <t>12/10 - 18/10</t>
  </si>
  <si>
    <t>19/10 - 25/10</t>
  </si>
  <si>
    <t>26/10 - 01/11</t>
  </si>
  <si>
    <t>02/11 - 08/11</t>
  </si>
  <si>
    <t>09/11 - 15/11</t>
  </si>
  <si>
    <t>16/11 - 22/11</t>
  </si>
  <si>
    <t>23/11 - 29/11</t>
  </si>
  <si>
    <t>30/11 - 30/11</t>
  </si>
  <si>
    <t>FASE 1: DIAGNÓSTICO OPERACIONAL, ALCANCE Y METODOLOGÍA KANBAN (S01 - S03)</t>
  </si>
  <si>
    <t>ACT-01</t>
  </si>
  <si>
    <t>Fase 1: Diagnóstico</t>
  </si>
  <si>
    <t>Kickoff del proyecto y análisis de problemática operacional en terreno Entel B2B</t>
  </si>
  <si>
    <t>Alineación de Alcance &amp; Kickoff</t>
  </si>
  <si>
    <t>Alexander Sáez / Equipo</t>
  </si>
  <si>
    <t>10/08/2026</t>
  </si>
  <si>
    <t>14/08/2026</t>
  </si>
  <si>
    <t>COMPLETADO</t>
  </si>
  <si>
    <t>✔ 100%</t>
  </si>
  <si>
    <t>ACT-02</t>
  </si>
  <si>
    <t>Fase 1: Metodología</t>
  </si>
  <si>
    <t>Definición metodológica: Adopción de Kanban puro, límites WIP y métricas de flujo</t>
  </si>
  <si>
    <t>Políticas WIP &amp; Walk the Board</t>
  </si>
  <si>
    <t>Jorge Morales / Scrum Master</t>
  </si>
  <si>
    <t>17/08/2026</t>
  </si>
  <si>
    <t>21/08/2026</t>
  </si>
  <si>
    <t>ACT-03</t>
  </si>
  <si>
    <t>Fase 1: Procesos FSM</t>
  </si>
  <si>
    <t>Levantamiento de requerimientos funcionales, RNFs y modelado formal de estados FSM</t>
  </si>
  <si>
    <t>Modelado FSM &amp; Matriz RNF</t>
  </si>
  <si>
    <t>Diego Jiménez / Alexander Sáez</t>
  </si>
  <si>
    <t>24/08/2026</t>
  </si>
  <si>
    <t>28/08/2026</t>
  </si>
  <si>
    <t>FASE 2: ARQUITECTURA CLOUD, MODELADO RELACIONAL Y PROTOTIPADO (S04 - S07)</t>
  </si>
  <si>
    <t>ACT-04</t>
  </si>
  <si>
    <t>Fase 2: UI Prototipado</t>
  </si>
  <si>
    <t>Diseño de experiencia UI/UX: Prototipado Dispatch Board y Portal Cliente Magic Links</t>
  </si>
  <si>
    <t>Prototipado UI/UX &amp; Tailwind</t>
  </si>
  <si>
    <t>Diego Jiménez / Frontend</t>
  </si>
  <si>
    <t>31/08/2026</t>
  </si>
  <si>
    <t>04/09/2026</t>
  </si>
  <si>
    <t>ACT-05</t>
  </si>
  <si>
    <t>Fase 2: Persistencia</t>
  </si>
  <si>
    <t>Modelado DER en 3FN, esquema PostgreSQL en Neon Serverless y dataset semilla (seed.sql)</t>
  </si>
  <si>
    <t>Modelado Relacional 3FN / UUIDv4</t>
  </si>
  <si>
    <t>Alexander Sáez / DBA Lead</t>
  </si>
  <si>
    <t>07/09/2026</t>
  </si>
  <si>
    <t>11/09/2026</t>
  </si>
  <si>
    <t>ACT-06</t>
  </si>
  <si>
    <t>Fase 2: CI/CD Cloud</t>
  </si>
  <si>
    <t>Automatización de CI/CD en GitHub Actions: Pipelines database-dev.yml y database-prod.yml</t>
  </si>
  <si>
    <t>DevOps &amp; Branching Strategy</t>
  </si>
  <si>
    <t>Alexander Sáez / DevOps</t>
  </si>
  <si>
    <t>14/09/2026</t>
  </si>
  <si>
    <t>18/09/2026</t>
  </si>
  <si>
    <t>ACT-07</t>
  </si>
  <si>
    <t>Fase 2: Consolidación</t>
  </si>
  <si>
    <t>Receso Fiestas Patrias: Consolidación documental de arquitectura y diseño en Markdown</t>
  </si>
  <si>
    <t>Revisión Asíncrona &amp; Docs</t>
  </si>
  <si>
    <t>Equipo Atlas</t>
  </si>
  <si>
    <t>21/09/2026</t>
  </si>
  <si>
    <t>25/09/2026</t>
  </si>
  <si>
    <t>FASE 3: DESARROLLO CORE FRONTEND &amp; BACKEND API (S08 - S11)</t>
  </si>
  <si>
    <t>ACT-08</t>
  </si>
  <si>
    <t>Fase 3: Dispatcher UI</t>
  </si>
  <si>
    <t>Construcción de la vista Dispatcher: Filtros por cuadrante, buscador en vivo y sincronización</t>
  </si>
  <si>
    <t>Componentes React &amp; Custom Hooks</t>
  </si>
  <si>
    <t>28/09/2026</t>
  </si>
  <si>
    <t>02/10/2026</t>
  </si>
  <si>
    <t>ACT-09</t>
  </si>
  <si>
    <t>Fase 3: Design System</t>
  </si>
  <si>
    <t>Sistema de diseño corporativo: Modo Claro/Oscuro, modal de perfil y optimización de contraste</t>
  </si>
  <si>
    <t>Accesibilidad WCAG 2.1 &amp; CSS</t>
  </si>
  <si>
    <t>05/10/2026</t>
  </si>
  <si>
    <t>09/10/2026</t>
  </si>
  <si>
    <t>ACT-10</t>
  </si>
  <si>
    <t>Fase 3: Backend Core</t>
  </si>
  <si>
    <t>Desarrollo Backend FastAPI: Modelos SQLAlchemy 2.0, autenticación JWT, RBAC y PgBouncer</t>
  </si>
  <si>
    <t>API RESTful &amp; ORM Mapping</t>
  </si>
  <si>
    <t>Alexander Sáez / Backend Lead</t>
  </si>
  <si>
    <t>12/10/2026</t>
  </si>
  <si>
    <t>16/10/2026</t>
  </si>
  <si>
    <t>ACT-11</t>
  </si>
  <si>
    <t>Fase 3: Integración</t>
  </si>
  <si>
    <t>Integración Live Data: Conexión frontend-backend-Neon DB 100% en vivo y conector SendGrid</t>
  </si>
  <si>
    <t>FullStack Integration &amp; Mock Purge</t>
  </si>
  <si>
    <t>Alexander Sáez / Diego Jiménez</t>
  </si>
  <si>
    <t>19/10/2026</t>
  </si>
  <si>
    <t>23/10/2026</t>
  </si>
  <si>
    <t>EN CURSO</t>
  </si>
  <si>
    <t>► 90%</t>
  </si>
  <si>
    <t>FASE 4: PRUEBAS DE CALIDAD, PILOTO OPERATIVO Y PRE-ENTREGA DOCENTE (S12 - S15)</t>
  </si>
  <si>
    <t>ACT-12</t>
  </si>
  <si>
    <t>Fase 4: QA &amp; Seguridad</t>
  </si>
  <si>
    <t>Pruebas de integración E2E, auditoría de seguridad en tokens Magic Links y estrés DB (&lt;50ms)</t>
  </si>
  <si>
    <t>Testing E2E &amp; Latency Benchmarks</t>
  </si>
  <si>
    <t>Alexander Sáez / QA Lead</t>
  </si>
  <si>
    <t>26/10/2026</t>
  </si>
  <si>
    <t>30/10/2026</t>
  </si>
  <si>
    <t>PLANIFICADO</t>
  </si>
  <si>
    <t>░ Plan</t>
  </si>
  <si>
    <t>ACT-13</t>
  </si>
  <si>
    <t>Fase 4: Piloto Simulado</t>
  </si>
  <si>
    <t>Ejecución de piloto operativo simulado con órdenes de terreno reales y medición de KPIs</t>
  </si>
  <si>
    <t>Simulación Piloto &amp; KPIs SLA</t>
  </si>
  <si>
    <t>02/11/2026</t>
  </si>
  <si>
    <t>06/11/2026</t>
  </si>
  <si>
    <t>ACT-14</t>
  </si>
  <si>
    <t>Fase 4: Consolidación</t>
  </si>
  <si>
    <t>Consolidación de entregables Capstone, informes de ingeniería y preparación de diapositivas</t>
  </si>
  <si>
    <t>Documentación &amp; Storytelling</t>
  </si>
  <si>
    <t>09/11/2026</t>
  </si>
  <si>
    <t>13/11/2026</t>
  </si>
  <si>
    <t>HITO-01</t>
  </si>
  <si>
    <t>Hito Intermedio</t>
  </si>
  <si>
    <t>Revisión Docente Capstone</t>
  </si>
  <si>
    <t>16/11/2026</t>
  </si>
  <si>
    <t>HITO CRÍTICO</t>
  </si>
  <si>
    <t>★ HITO</t>
  </si>
  <si>
    <t>ACT-15</t>
  </si>
  <si>
    <t>Fase 4: Minuta Feedback</t>
  </si>
  <si>
    <t>Registro formal de minuta de feedback docente y priorización de ajustes en tablero Kanban</t>
  </si>
  <si>
    <t>Gestión de Feedback &amp; Kaizen</t>
  </si>
  <si>
    <t>17/11/2026</t>
  </si>
  <si>
    <t>20/11/2026</t>
  </si>
  <si>
    <t>FASE 5: SUBSANACIÓN DE OBSERVACIONES, ENSAYOS Y DEFENSA FINAL (S16 - S17)</t>
  </si>
  <si>
    <t>ACT-16</t>
  </si>
  <si>
    <t>Fase 5: Cierre &amp; Ajustes</t>
  </si>
  <si>
    <t>Resolución integral de observaciones recibidas de la profesora y congelamiento de código</t>
  </si>
  <si>
    <t>Code Freeze &amp; Polish Final</t>
  </si>
  <si>
    <t>23/11/2026</t>
  </si>
  <si>
    <t>27/11/2026</t>
  </si>
  <si>
    <t>ACT-17</t>
  </si>
  <si>
    <t>Fase 5: Dry Run</t>
  </si>
  <si>
    <t>Ensayo general de defensa (Dry Run), respaldo de base de datos offline y pruebas de oratoria</t>
  </si>
  <si>
    <t>Dry Run &amp; Plan de Contingencia</t>
  </si>
  <si>
    <t>28/11/2026</t>
  </si>
  <si>
    <t>29/11/2026</t>
  </si>
  <si>
    <t>HITO-02</t>
  </si>
  <si>
    <t>Hito Final Titulación</t>
  </si>
  <si>
    <t>Defensa de Título Capstone</t>
  </si>
  <si>
    <t>Equipo Completo &amp; Comisión Duoc</t>
  </si>
  <si>
    <t>30/11/2026</t>
  </si>
  <si>
    <t>HITO FINAL</t>
  </si>
  <si>
    <t>🏆 FINAL</t>
  </si>
  <si>
    <t>TOTALES / PROMEDIO GENERAL DE AVANCE DEL PROYECTO ATLAS</t>
  </si>
  <si>
    <t>82% GLOBAL</t>
  </si>
  <si>
    <t>PROYECTO ATLAS - MATRIZ DE HITOS CRÍTICOS Y CRITERIOS DE ACEPTACIÓN CAPSTONE</t>
  </si>
  <si>
    <t>GOBERNANZA ACADÉMICA DUOC UC | HITOS SEMESTRALES, PRODUCTOS DE TRABAJO Y VALIDACIONES</t>
  </si>
  <si>
    <t>ID Hito</t>
  </si>
  <si>
    <t>Nombre del Hito</t>
  </si>
  <si>
    <t>Fecha Límite</t>
  </si>
  <si>
    <t>Fase Asociada</t>
  </si>
  <si>
    <t>Entregables Técnicos Principales</t>
  </si>
  <si>
    <t>Criterios de Aceptación / Evaluación</t>
  </si>
  <si>
    <t>Estado de Cumplimiento</t>
  </si>
  <si>
    <t>Kickoff y Aprobación de Alcance</t>
  </si>
  <si>
    <t>Matriz de Stakeholders, Ficha de Diagnóstico Operativo Entel B2B y Registro de Requerimientos Iniciales.</t>
  </si>
  <si>
    <t>Aprobación formal del alcance por docente guía y patrocinador; delimitación de órdenes FSM y portal cliente.</t>
  </si>
  <si>
    <t>Modelado DER y Persistencia Cloud</t>
  </si>
  <si>
    <t>Fase 2: Arquitectura</t>
  </si>
  <si>
    <t>Diagrama DER en 3FN, esquema DDL PostgreSQL en Neon Serverless, dataset semilla (seed.sql) y pipelines CI/CD.</t>
  </si>
  <si>
    <t>10 tablas operativas en el motor, integridad referencial 100%, ejecución automática de tests en PRs hacia main.</t>
  </si>
  <si>
    <t>HITO-03</t>
  </si>
  <si>
    <t>Core FullStack Integrado en Vivo (MVP)</t>
  </si>
  <si>
    <t>Fase 3: Desarrollo Core</t>
  </si>
  <si>
    <t>Backend FastAPI, Frontend React PWA, integración directa con Neon DB sin mocks, conector SendGrid y login RBAC.</t>
  </si>
  <si>
    <t>Sincronización en tiempo real de tableros Kanban, generación de Magic Links funcionales y despacho operativo sin fallas.</t>
  </si>
  <si>
    <t>EN CURSO (90%)</t>
  </si>
  <si>
    <t>HITO-04</t>
  </si>
  <si>
    <t>Fase 4: Pre-entrega Docente</t>
  </si>
  <si>
    <t>Plataforma Atlas funcional en producción, informes consolidados de Fase 1 y 2, y presentación previa de defensa.</t>
  </si>
  <si>
    <t>Retroalimentación formal docente, evaluación de usabilidad, levantamiento de observaciones críticas y firma de pre-aprobación.</t>
  </si>
  <si>
    <t>HITO-05</t>
  </si>
  <si>
    <t>Fase 5: Titulación Final</t>
  </si>
  <si>
    <t>Sistema Atlas en producción alta disponibilidad (Vercel/Render/Neon), informe final de titulación, demo en vivo y pitch.</t>
  </si>
  <si>
    <t>Aprobación unánime de la Comisión Evaluadora de Título Duoc UC, validación de cumplimiento de competencias y titulación.</t>
  </si>
  <si>
    <t>PROYECTO ATLAS - POLÍTICAS OPERACIONALES KANBAN Y MÉTRICAS DE FLUJO</t>
  </si>
  <si>
    <t>GESTIÓN ÁGIL DE FLUJO CONTINUO | LÍMITES WIP, CODEFLOW Y CADENCIAS DE MEJORA CONTINUA (KAIZEN)</t>
  </si>
  <si>
    <t>1. POLÍTICAS DE LÍMITES WIP (WORK IN PROGRESS) EN TABLERO KANBAN ATLAS</t>
  </si>
  <si>
    <t>Columna Tablero</t>
  </si>
  <si>
    <t>Límite WIP</t>
  </si>
  <si>
    <t>Propósito Operacional / Justificación de Calidad</t>
  </si>
  <si>
    <t>Criterio de Entrada (Definition of Ready)</t>
  </si>
  <si>
    <t>Criterio de Salida (Definition of Done)</t>
  </si>
  <si>
    <t>Estado Actual</t>
  </si>
  <si>
    <t>Backlog</t>
  </si>
  <si>
    <t>Ilimitado</t>
  </si>
  <si>
    <t>Repositorio centralizado de historias y requerimientos priorizados MoSCoW.</t>
  </si>
  <si>
    <t>Historia redactada con criterios de aceptación claros.</t>
  </si>
  <si>
    <t>Item priorizado y seleccionado para refinamiento.</t>
  </si>
  <si>
    <t>OPERATIVO</t>
  </si>
  <si>
    <t>Análisis &amp; Diseño</t>
  </si>
  <si>
    <t>WIP = 3</t>
  </si>
  <si>
    <t>Evitar sobrecarga en especificación y prevenir cuellos de botella iniciales.</t>
  </si>
  <si>
    <t>Historia priorizada en Backlog.</t>
  </si>
  <si>
    <t>Especificación técnica, contrato API Pydantic y prototipo listos.</t>
  </si>
  <si>
    <t>Desarrollo (In Dev)</t>
  </si>
  <si>
    <t>WIP = 4</t>
  </si>
  <si>
    <t>Garantizar foco del equipo (máximo 1 tarea activa por desarrollador).</t>
  </si>
  <si>
    <t>Contrato API y DER aprobados, rama creada bajo CodeFlow.</t>
  </si>
  <si>
    <t>Código testeado localmente, sin linter errors, commit semántico.</t>
  </si>
  <si>
    <t>Code Review (PR)</t>
  </si>
  <si>
    <t>WIP = 2</t>
  </si>
  <si>
    <t>Revisión técnica cruzada obligatoria para asegurar estándares de calidad.</t>
  </si>
  <si>
    <t>Pull Request abierto hacia rama de integración con descripción.</t>
  </si>
  <si>
    <t>Aprobación de al menos un par y checks de CI/CD en verde.</t>
  </si>
  <si>
    <t>Testing &amp; QA</t>
  </si>
  <si>
    <t>Validación funcional en entorno de staging contra base Neon dev.</t>
  </si>
  <si>
    <t>PR fusionado a dev y desplegado automáticamente.</t>
  </si>
  <si>
    <t>Pruebas E2E y de regresión aprobadas sin defectos bloqueantes.</t>
  </si>
  <si>
    <t>Desplegado (Done)</t>
  </si>
  <si>
    <t>Incrementos de software operando en producción de alta disponibilidad.</t>
  </si>
  <si>
    <t>Aprobación de QA y pase a producción.</t>
  </si>
  <si>
    <t>Código en producción (Render/Vercel/Neon), telemetría activa.</t>
  </si>
  <si>
    <t>2. MÉTRICAS CUANTITATIVAS DE FLUJO ÁGIL (OBJETIVO VS REAL)</t>
  </si>
  <si>
    <t>Métrica de Flujo</t>
  </si>
  <si>
    <t>Fórmula / Definición de Medición</t>
  </si>
  <si>
    <t>Meta Objetivo</t>
  </si>
  <si>
    <t>Valor Real (Oct-2026)</t>
  </si>
  <si>
    <t>Desviación / Variación</t>
  </si>
  <si>
    <t>Evaluación de Desempeño</t>
  </si>
  <si>
    <t>Lead Time Promedio</t>
  </si>
  <si>
    <t>Tiempo desde creación de ticket hasta despliegue productivo</t>
  </si>
  <si>
    <t>&lt;= 4.0 días</t>
  </si>
  <si>
    <t>3.2 días</t>
  </si>
  <si>
    <t>-20.0% (Más ágil)</t>
  </si>
  <si>
    <t>CUMPLIDO CON ÉXITO</t>
  </si>
  <si>
    <t>Cycle Time Promedio</t>
  </si>
  <si>
    <t>Tiempo activo de trabajo en desarrollo, review y pruebas</t>
  </si>
  <si>
    <t>&lt;= 2.5 días</t>
  </si>
  <si>
    <t>1.8 días</t>
  </si>
  <si>
    <t>-28.0% (Excelente fluidez)</t>
  </si>
  <si>
    <t>Throughput Semanal</t>
  </si>
  <si>
    <t>Cantidad de tickets terminados y entregados por semana</t>
  </si>
  <si>
    <t>4 a 6 tickets/sem</t>
  </si>
  <si>
    <t>5.2 tickets/sem</t>
  </si>
  <si>
    <t>En rango óptimo</t>
  </si>
  <si>
    <t>WIP Activo Total</t>
  </si>
  <si>
    <t>Número de tickets en progreso simultáneo (columnas activas)</t>
  </si>
  <si>
    <t>&lt;= 9 tickets</t>
  </si>
  <si>
    <t>7 tickets</t>
  </si>
  <si>
    <t>-22.2% (Bajo control)</t>
  </si>
  <si>
    <t>Defect Escape Rate</t>
  </si>
  <si>
    <t>Porcentaje de bugs detectados en producción sobre cerrados</t>
  </si>
  <si>
    <t>&lt; 5.0%</t>
  </si>
  <si>
    <t>0.0%</t>
  </si>
  <si>
    <t>100% de calidad en PRs</t>
  </si>
  <si>
    <t>3. CADENCIAS Y CEREMONIAS ÁGILES DEL EQUIPO ATLAS</t>
  </si>
  <si>
    <t>Ceremonia / Dinámica</t>
  </si>
  <si>
    <t>Frecuencia</t>
  </si>
  <si>
    <t>Duración</t>
  </si>
  <si>
    <t>Participantes</t>
  </si>
  <si>
    <t>Objetivo Operacional en Proyecto Atlas</t>
  </si>
  <si>
    <t>Registro / Evidencia</t>
  </si>
  <si>
    <t>Daily Standup</t>
  </si>
  <si>
    <t>Diaria (Lun a Vie)</t>
  </si>
  <si>
    <t>15 min</t>
  </si>
  <si>
    <t>Equipo Atlas completo</t>
  </si>
  <si>
    <t>Sincronizar tareas diarias, coordinar ramas de trabajo y detectar bloqueos inmediatamente.</t>
  </si>
  <si>
    <t>Bitácora Daily en Discord</t>
  </si>
  <si>
    <t>Walk the Board</t>
  </si>
  <si>
    <t>Martes y Jueves</t>
  </si>
  <si>
    <t>20 min</t>
  </si>
  <si>
    <t>Inspección de derecha a izquierda del tablero Kanban para empujar tickets trabados hacia Done.</t>
  </si>
  <si>
    <t>Tablero Kanban GitHub</t>
  </si>
  <si>
    <t>Kaizen Retrospective</t>
  </si>
  <si>
    <t>Quincenal</t>
  </si>
  <si>
    <t>45 min</t>
  </si>
  <si>
    <t>Análisis de causas raíz en desperdicios de tiempo, optimización de pipelines CI/CD y feedback docente.</t>
  </si>
  <si>
    <t>Actas de Retrospectiva</t>
  </si>
  <si>
    <t>CodeFlow Review</t>
  </si>
  <si>
    <t>Bajo Demanda</t>
  </si>
  <si>
    <t>Asíncrono</t>
  </si>
  <si>
    <t>Pares desarrolladores</t>
  </si>
  <si>
    <t>Revisión técnica minuciosa de PRs contra estándares de seguridad, tipado estricto y cobertura.</t>
  </si>
  <si>
    <t>Pull Requests en GitHub</t>
  </si>
  <si>
    <t>DEFENSA FINAL ANTE COMISIÓN CAPSTONE</t>
  </si>
  <si>
    <t>REVISIÓN Y CORRECCIÓN CON PROFESORA GUÍA</t>
  </si>
  <si>
    <t>PRESENTACIÓN INTERMEDIA CON PROFESORA GUÍA: Revisión técnica y levantamiento de observaciones</t>
  </si>
  <si>
    <t xml:space="preserve"> PRESENTACIÓN Y DEFENSA FINAL ANTE LA COMISIÓN EVALUADORA DE TÍTULO DUOC UC</t>
  </si>
  <si>
    <t>Equipo Completo &amp; Cindy 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</si>
</sst>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333333"/>
      <name val="Calibri"/>
    </font>
    <font>
      <b/>
      <sz val="9"/>
      <color rgb="FF1F3864"/>
      <name val="Calibri"/>
    </font>
    <font>
      <b/>
      <sz val="9"/>
      <color rgb="FF833C0C"/>
      <name val="Calibri"/>
    </font>
    <font>
      <b/>
      <sz val="9"/>
      <color rgb="FFC00000"/>
      <name val="Calibri"/>
    </font>
    <font>
      <b/>
      <sz val="9"/>
      <color rgb="FF7030A0"/>
      <name val="Calibri"/>
    </font>
    <font>
      <i/>
      <sz val="8"/>
      <color rgb="FF333333"/>
      <name val="Calibri"/>
    </font>
    <font>
      <b/>
      <sz val="9"/>
      <color rgb="FFFFFFFF"/>
      <name val="Calibri"/>
    </font>
    <font>
      <b/>
      <sz val="7.5"/>
      <color rgb="FFFFFFFF"/>
      <name val="Calibri"/>
    </font>
    <font>
      <b/>
      <sz val="10"/>
      <color rgb="FF1F3864"/>
      <name val="Calibri"/>
    </font>
    <font>
      <sz val="9"/>
      <color rgb="FF1F3864"/>
      <name val="Calibri"/>
    </font>
    <font>
      <sz val="8.5"/>
      <color rgb="FF333333"/>
      <name val="Calibri"/>
    </font>
    <font>
      <i/>
      <sz val="8.5"/>
      <color rgb="FF555555"/>
      <name val="Calibri"/>
    </font>
    <font>
      <b/>
      <sz val="8.5"/>
      <color rgb="FF333333"/>
      <name val="Calibri"/>
    </font>
    <font>
      <b/>
      <sz val="8.5"/>
      <color rgb="FF375623"/>
      <name val="Calibri"/>
    </font>
    <font>
      <b/>
      <sz val="8.5"/>
      <color rgb="FF833C0C"/>
      <name val="Calibri"/>
    </font>
    <font>
      <b/>
      <sz val="8.5"/>
      <color rgb="FF2E5496"/>
      <name val="Calibri"/>
    </font>
    <font>
      <sz val="7.5"/>
      <color rgb="FF1F3864"/>
      <name val="Calibri"/>
    </font>
    <font>
      <b/>
      <sz val="8.5"/>
      <color rgb="FFC00000"/>
      <name val="Calibri"/>
    </font>
    <font>
      <b/>
      <sz val="8.5"/>
      <color rgb="FF7030A0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b/>
      <sz val="9.5"/>
      <color rgb="FFFFFFFF"/>
      <name val="Calibri"/>
    </font>
    <font>
      <sz val="9"/>
      <color rgb="FF333333"/>
      <name val="Calibri"/>
    </font>
    <font>
      <b/>
      <sz val="9"/>
      <color rgb="FF375623"/>
      <name val="Calibri"/>
    </font>
    <font>
      <b/>
      <sz val="11"/>
      <color rgb="FF1F3864"/>
      <name val="Calibri"/>
    </font>
    <font>
      <b/>
      <sz val="8.5"/>
      <color rgb="FF1F3864"/>
      <name val="Calibri"/>
    </font>
    <font>
      <b/>
      <sz val="9"/>
      <color rgb="FF1F3864"/>
      <name val="Calibri"/>
      <family val="2"/>
    </font>
    <font>
      <b/>
      <sz val="9"/>
      <color rgb="FFC00000"/>
      <name val="Calibri"/>
      <family val="2"/>
    </font>
    <font>
      <b/>
      <sz val="9"/>
      <color rgb="FF7030A0"/>
      <name val="Calibri"/>
      <family val="2"/>
    </font>
    <font>
      <sz val="8.5"/>
      <color rgb="FF333333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E8EEF5"/>
        <bgColor rgb="FFE8EEF5"/>
      </patternFill>
    </fill>
    <fill>
      <patternFill patternType="solid">
        <fgColor rgb="FF2E5496"/>
        <bgColor rgb="FF2E5496"/>
      </patternFill>
    </fill>
    <fill>
      <patternFill patternType="solid">
        <fgColor rgb="FFC65911"/>
        <bgColor rgb="FFC65911"/>
      </patternFill>
    </fill>
    <fill>
      <patternFill patternType="solid">
        <fgColor rgb="FFD56B1B"/>
        <bgColor rgb="FFD56B1B"/>
      </patternFill>
    </fill>
    <fill>
      <patternFill patternType="solid">
        <fgColor rgb="FFC00000"/>
        <bgColor rgb="FFC00000"/>
      </patternFill>
    </fill>
    <fill>
      <patternFill patternType="solid">
        <fgColor rgb="FF9B0000"/>
        <bgColor rgb="FF9B0000"/>
      </patternFill>
    </fill>
    <fill>
      <patternFill patternType="solid">
        <fgColor rgb="FF7030A0"/>
        <bgColor rgb="FF7030A0"/>
      </patternFill>
    </fill>
    <fill>
      <patternFill patternType="solid">
        <fgColor rgb="FF592480"/>
        <bgColor rgb="FF59248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FF9E6"/>
        <bgColor rgb="FFFFF9E6"/>
      </patternFill>
    </fill>
    <fill>
      <patternFill patternType="solid">
        <fgColor rgb="FFFFF0F0"/>
        <bgColor rgb="FFFFF0F0"/>
      </patternFill>
    </fill>
    <fill>
      <patternFill patternType="solid">
        <fgColor rgb="FFF5EEF8"/>
        <bgColor rgb="FFF5EEF8"/>
      </patternFill>
    </fill>
    <fill>
      <patternFill patternType="solid">
        <fgColor rgb="FFF9FBFD"/>
        <bgColor rgb="FFF9FBFD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EDF2F8"/>
        <bgColor rgb="FFEDF2F8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rgb="FFE8D7F1"/>
        <bgColor rgb="FFE8D7F1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FFFFFF"/>
      </left>
      <right style="thin">
        <color rgb="FFFFFFFF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left" vertical="center"/>
    </xf>
    <xf numFmtId="0" fontId="12" fillId="15" borderId="4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9" fontId="15" fillId="15" borderId="4" xfId="0" applyNumberFormat="1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0" fillId="15" borderId="4" xfId="0" applyFill="1" applyBorder="1"/>
    <xf numFmtId="0" fontId="0" fillId="17" borderId="4" xfId="0" applyFill="1" applyBorder="1"/>
    <xf numFmtId="0" fontId="0" fillId="18" borderId="4" xfId="0" applyFill="1" applyBorder="1"/>
    <xf numFmtId="0" fontId="0" fillId="19" borderId="4" xfId="0" applyFill="1" applyBorder="1"/>
    <xf numFmtId="0" fontId="12" fillId="20" borderId="4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left" vertical="center"/>
    </xf>
    <xf numFmtId="0" fontId="12" fillId="20" borderId="4" xfId="0" applyFont="1" applyFill="1" applyBorder="1" applyAlignment="1">
      <alignment horizontal="left" vertical="center"/>
    </xf>
    <xf numFmtId="0" fontId="14" fillId="20" borderId="4" xfId="0" applyFont="1" applyFill="1" applyBorder="1" applyAlignment="1">
      <alignment horizontal="left" vertical="center"/>
    </xf>
    <xf numFmtId="0" fontId="13" fillId="20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9" fontId="15" fillId="20" borderId="4" xfId="0" applyNumberFormat="1" applyFont="1" applyFill="1" applyBorder="1" applyAlignment="1">
      <alignment horizontal="center" vertical="center"/>
    </xf>
    <xf numFmtId="0" fontId="0" fillId="20" borderId="4" xfId="0" applyFill="1" applyBorder="1"/>
    <xf numFmtId="0" fontId="17" fillId="21" borderId="4" xfId="0" applyFont="1" applyFill="1" applyBorder="1" applyAlignment="1">
      <alignment horizontal="center" vertical="center"/>
    </xf>
    <xf numFmtId="0" fontId="10" fillId="22" borderId="4" xfId="0" applyFont="1" applyFill="1" applyBorder="1" applyAlignment="1">
      <alignment horizontal="center" vertical="center"/>
    </xf>
    <xf numFmtId="0" fontId="18" fillId="23" borderId="4" xfId="0" applyFont="1" applyFill="1" applyBorder="1" applyAlignment="1">
      <alignment horizontal="center" vertical="center"/>
    </xf>
    <xf numFmtId="0" fontId="19" fillId="24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20" fillId="25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24" fillId="3" borderId="2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left" vertical="center" wrapText="1"/>
    </xf>
    <xf numFmtId="0" fontId="25" fillId="20" borderId="4" xfId="0" applyFont="1" applyFill="1" applyBorder="1" applyAlignment="1">
      <alignment horizontal="center" vertical="center" wrapText="1"/>
    </xf>
    <xf numFmtId="0" fontId="25" fillId="20" borderId="4" xfId="0" applyFont="1" applyFill="1" applyBorder="1" applyAlignment="1">
      <alignment horizontal="left" vertical="center" wrapText="1"/>
    </xf>
    <xf numFmtId="0" fontId="26" fillId="14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left" vertical="center" wrapText="1"/>
    </xf>
    <xf numFmtId="0" fontId="25" fillId="15" borderId="4" xfId="0" applyFont="1" applyFill="1" applyBorder="1" applyAlignment="1">
      <alignment horizontal="center" vertical="center" wrapText="1"/>
    </xf>
    <xf numFmtId="0" fontId="25" fillId="15" borderId="4" xfId="0" applyFont="1" applyFill="1" applyBorder="1" applyAlignment="1">
      <alignment horizontal="left" vertical="center" wrapText="1"/>
    </xf>
    <xf numFmtId="0" fontId="5" fillId="21" borderId="4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horizontal="center" vertical="center" wrapText="1"/>
    </xf>
    <xf numFmtId="0" fontId="7" fillId="26" borderId="4" xfId="0" applyFont="1" applyFill="1" applyBorder="1" applyAlignment="1">
      <alignment horizontal="center" vertical="center" wrapText="1"/>
    </xf>
    <xf numFmtId="0" fontId="28" fillId="15" borderId="4" xfId="0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left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28" fillId="20" borderId="4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horizontal="left" vertical="center" wrapText="1"/>
    </xf>
    <xf numFmtId="0" fontId="28" fillId="15" borderId="4" xfId="0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left" vertical="center" indent="1"/>
    </xf>
    <xf numFmtId="0" fontId="0" fillId="0" borderId="3" xfId="0" applyBorder="1"/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left" vertical="center" indent="1"/>
    </xf>
    <xf numFmtId="0" fontId="29" fillId="15" borderId="4" xfId="0" applyFont="1" applyFill="1" applyBorder="1" applyAlignment="1">
      <alignment horizontal="left" vertical="center" wrapText="1"/>
    </xf>
    <xf numFmtId="0" fontId="29" fillId="20" borderId="4" xfId="0" applyFont="1" applyFill="1" applyBorder="1" applyAlignment="1">
      <alignment horizontal="left" vertical="center" wrapText="1"/>
    </xf>
    <xf numFmtId="0" fontId="30" fillId="20" borderId="4" xfId="0" applyFont="1" applyFill="1" applyBorder="1" applyAlignment="1">
      <alignment horizontal="left" vertical="center"/>
    </xf>
    <xf numFmtId="0" fontId="31" fillId="15" borderId="4" xfId="0" applyFont="1" applyFill="1" applyBorder="1" applyAlignment="1">
      <alignment horizontal="left" vertical="center"/>
    </xf>
    <xf numFmtId="0" fontId="32" fillId="2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17" zoomScale="115" zoomScaleNormal="115" workbookViewId="0">
      <selection activeCell="E26" sqref="E26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75.33203125" bestFit="1" customWidth="1"/>
    <col min="4" max="4" width="25" customWidth="1"/>
    <col min="5" max="5" width="22.6640625" bestFit="1" customWidth="1"/>
    <col min="6" max="7" width="11" customWidth="1"/>
    <col min="8" max="8" width="6" customWidth="1"/>
    <col min="9" max="9" width="15" customWidth="1"/>
    <col min="10" max="10" width="10" customWidth="1"/>
    <col min="11" max="27" width="9.77734375" customWidth="1"/>
  </cols>
  <sheetData>
    <row r="1" spans="1:27" ht="28.05" customHeight="1" x14ac:dyDescent="0.3">
      <c r="A1" s="78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9.95" customHeight="1" x14ac:dyDescent="0.3">
      <c r="A2" s="73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8" customHeight="1" x14ac:dyDescent="0.3">
      <c r="A3" s="69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18" customHeight="1" x14ac:dyDescent="0.3">
      <c r="A4" s="76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19.95" customHeight="1" x14ac:dyDescent="0.3">
      <c r="A5" s="70" t="s">
        <v>4</v>
      </c>
      <c r="B5" s="71"/>
      <c r="C5" s="71"/>
      <c r="D5" s="77" t="s">
        <v>5</v>
      </c>
      <c r="E5" s="71"/>
      <c r="F5" s="71"/>
      <c r="G5" s="72" t="s">
        <v>6</v>
      </c>
      <c r="H5" s="71"/>
      <c r="I5" s="71"/>
      <c r="J5" s="74" t="s">
        <v>7</v>
      </c>
      <c r="K5" s="71"/>
      <c r="L5" s="71"/>
      <c r="M5" s="71"/>
      <c r="N5" s="75" t="s">
        <v>8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spans="1:27" ht="19.95" customHeight="1" x14ac:dyDescent="0.3">
      <c r="A6" s="65" t="s">
        <v>9</v>
      </c>
      <c r="B6" s="65" t="s">
        <v>10</v>
      </c>
      <c r="C6" s="65" t="s">
        <v>11</v>
      </c>
      <c r="D6" s="65" t="s">
        <v>12</v>
      </c>
      <c r="E6" s="65" t="s">
        <v>13</v>
      </c>
      <c r="F6" s="65" t="s">
        <v>14</v>
      </c>
      <c r="G6" s="65" t="s">
        <v>15</v>
      </c>
      <c r="H6" s="65" t="s">
        <v>16</v>
      </c>
      <c r="I6" s="65" t="s">
        <v>17</v>
      </c>
      <c r="J6" s="65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1" t="s">
        <v>26</v>
      </c>
      <c r="S6" s="1" t="s">
        <v>27</v>
      </c>
      <c r="T6" s="1" t="s">
        <v>28</v>
      </c>
      <c r="U6" s="2" t="s">
        <v>29</v>
      </c>
      <c r="V6" s="1" t="s">
        <v>30</v>
      </c>
      <c r="W6" s="1" t="s">
        <v>31</v>
      </c>
      <c r="X6" s="1" t="s">
        <v>32</v>
      </c>
      <c r="Y6" s="3" t="s">
        <v>33</v>
      </c>
      <c r="Z6" s="1" t="s">
        <v>34</v>
      </c>
      <c r="AA6" s="4" t="s">
        <v>35</v>
      </c>
    </row>
    <row r="7" spans="1:27" ht="18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5" t="s">
        <v>36</v>
      </c>
      <c r="L7" s="5" t="s">
        <v>37</v>
      </c>
      <c r="M7" s="5" t="s">
        <v>38</v>
      </c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  <c r="U7" s="6" t="s">
        <v>46</v>
      </c>
      <c r="V7" s="5" t="s">
        <v>47</v>
      </c>
      <c r="W7" s="5" t="s">
        <v>48</v>
      </c>
      <c r="X7" s="5" t="s">
        <v>49</v>
      </c>
      <c r="Y7" s="7" t="s">
        <v>50</v>
      </c>
      <c r="Z7" s="5" t="s">
        <v>51</v>
      </c>
      <c r="AA7" s="8" t="s">
        <v>52</v>
      </c>
    </row>
    <row r="8" spans="1:27" ht="22.05" customHeight="1" x14ac:dyDescent="0.3">
      <c r="A8" s="67" t="s">
        <v>53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 ht="19.05" customHeight="1" x14ac:dyDescent="0.3">
      <c r="A9" s="9" t="s">
        <v>54</v>
      </c>
      <c r="B9" s="10" t="s">
        <v>55</v>
      </c>
      <c r="C9" s="11" t="s">
        <v>56</v>
      </c>
      <c r="D9" s="12" t="s">
        <v>57</v>
      </c>
      <c r="E9" s="10" t="s">
        <v>58</v>
      </c>
      <c r="F9" s="13" t="s">
        <v>59</v>
      </c>
      <c r="G9" s="13" t="s">
        <v>60</v>
      </c>
      <c r="H9" s="14">
        <v>5</v>
      </c>
      <c r="I9" s="15" t="s">
        <v>61</v>
      </c>
      <c r="J9" s="16">
        <v>1</v>
      </c>
      <c r="K9" s="17" t="s">
        <v>62</v>
      </c>
      <c r="L9" s="18"/>
      <c r="M9" s="18"/>
      <c r="N9" s="18"/>
      <c r="O9" s="18"/>
      <c r="P9" s="18"/>
      <c r="Q9" s="18"/>
      <c r="R9" s="18"/>
      <c r="S9" s="18"/>
      <c r="T9" s="18"/>
      <c r="U9" s="19"/>
      <c r="V9" s="18"/>
      <c r="W9" s="18"/>
      <c r="X9" s="18"/>
      <c r="Y9" s="20"/>
      <c r="Z9" s="18"/>
      <c r="AA9" s="21"/>
    </row>
    <row r="10" spans="1:27" ht="19.05" customHeight="1" x14ac:dyDescent="0.3">
      <c r="A10" s="22" t="s">
        <v>63</v>
      </c>
      <c r="B10" s="23" t="s">
        <v>64</v>
      </c>
      <c r="C10" s="24" t="s">
        <v>65</v>
      </c>
      <c r="D10" s="25" t="s">
        <v>66</v>
      </c>
      <c r="E10" s="23" t="s">
        <v>67</v>
      </c>
      <c r="F10" s="26" t="s">
        <v>68</v>
      </c>
      <c r="G10" s="26" t="s">
        <v>69</v>
      </c>
      <c r="H10" s="27">
        <v>5</v>
      </c>
      <c r="I10" s="15" t="s">
        <v>61</v>
      </c>
      <c r="J10" s="28">
        <v>1</v>
      </c>
      <c r="K10" s="29"/>
      <c r="L10" s="17" t="s">
        <v>62</v>
      </c>
      <c r="M10" s="29"/>
      <c r="N10" s="29"/>
      <c r="O10" s="29"/>
      <c r="P10" s="29"/>
      <c r="Q10" s="29"/>
      <c r="R10" s="29"/>
      <c r="S10" s="29"/>
      <c r="T10" s="29"/>
      <c r="U10" s="19"/>
      <c r="V10" s="29"/>
      <c r="W10" s="29"/>
      <c r="X10" s="29"/>
      <c r="Y10" s="20"/>
      <c r="Z10" s="29"/>
      <c r="AA10" s="21"/>
    </row>
    <row r="11" spans="1:27" ht="19.05" customHeight="1" x14ac:dyDescent="0.3">
      <c r="A11" s="9" t="s">
        <v>70</v>
      </c>
      <c r="B11" s="10" t="s">
        <v>71</v>
      </c>
      <c r="C11" s="11" t="s">
        <v>72</v>
      </c>
      <c r="D11" s="12" t="s">
        <v>73</v>
      </c>
      <c r="E11" s="10" t="s">
        <v>74</v>
      </c>
      <c r="F11" s="13" t="s">
        <v>75</v>
      </c>
      <c r="G11" s="13" t="s">
        <v>76</v>
      </c>
      <c r="H11" s="14">
        <v>5</v>
      </c>
      <c r="I11" s="15" t="s">
        <v>61</v>
      </c>
      <c r="J11" s="16">
        <v>1</v>
      </c>
      <c r="K11" s="18"/>
      <c r="L11" s="18"/>
      <c r="M11" s="17" t="s">
        <v>62</v>
      </c>
      <c r="N11" s="18"/>
      <c r="O11" s="18"/>
      <c r="P11" s="18"/>
      <c r="Q11" s="18"/>
      <c r="R11" s="18"/>
      <c r="S11" s="18"/>
      <c r="T11" s="18"/>
      <c r="U11" s="19"/>
      <c r="V11" s="18"/>
      <c r="W11" s="18"/>
      <c r="X11" s="18"/>
      <c r="Y11" s="20"/>
      <c r="Z11" s="18"/>
      <c r="AA11" s="21"/>
    </row>
    <row r="12" spans="1:27" ht="22.05" customHeight="1" x14ac:dyDescent="0.3">
      <c r="A12" s="67" t="s">
        <v>77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</row>
    <row r="13" spans="1:27" ht="19.05" customHeight="1" x14ac:dyDescent="0.3">
      <c r="A13" s="9" t="s">
        <v>78</v>
      </c>
      <c r="B13" s="10" t="s">
        <v>79</v>
      </c>
      <c r="C13" s="11" t="s">
        <v>80</v>
      </c>
      <c r="D13" s="12" t="s">
        <v>81</v>
      </c>
      <c r="E13" s="10" t="s">
        <v>82</v>
      </c>
      <c r="F13" s="13" t="s">
        <v>83</v>
      </c>
      <c r="G13" s="13" t="s">
        <v>84</v>
      </c>
      <c r="H13" s="14">
        <v>5</v>
      </c>
      <c r="I13" s="15" t="s">
        <v>61</v>
      </c>
      <c r="J13" s="16">
        <v>1</v>
      </c>
      <c r="K13" s="18"/>
      <c r="L13" s="18"/>
      <c r="M13" s="18"/>
      <c r="N13" s="17" t="s">
        <v>62</v>
      </c>
      <c r="O13" s="18"/>
      <c r="P13" s="18"/>
      <c r="Q13" s="18"/>
      <c r="R13" s="18"/>
      <c r="S13" s="18"/>
      <c r="T13" s="18"/>
      <c r="U13" s="19"/>
      <c r="V13" s="18"/>
      <c r="W13" s="18"/>
      <c r="X13" s="18"/>
      <c r="Y13" s="20"/>
      <c r="Z13" s="18"/>
      <c r="AA13" s="21"/>
    </row>
    <row r="14" spans="1:27" ht="19.05" customHeight="1" x14ac:dyDescent="0.3">
      <c r="A14" s="22" t="s">
        <v>85</v>
      </c>
      <c r="B14" s="23" t="s">
        <v>86</v>
      </c>
      <c r="C14" s="24" t="s">
        <v>87</v>
      </c>
      <c r="D14" s="25" t="s">
        <v>88</v>
      </c>
      <c r="E14" s="23" t="s">
        <v>89</v>
      </c>
      <c r="F14" s="26" t="s">
        <v>90</v>
      </c>
      <c r="G14" s="26" t="s">
        <v>91</v>
      </c>
      <c r="H14" s="27">
        <v>5</v>
      </c>
      <c r="I14" s="15" t="s">
        <v>61</v>
      </c>
      <c r="J14" s="28">
        <v>1</v>
      </c>
      <c r="K14" s="29"/>
      <c r="L14" s="29"/>
      <c r="M14" s="29"/>
      <c r="N14" s="29"/>
      <c r="O14" s="17" t="s">
        <v>62</v>
      </c>
      <c r="P14" s="29"/>
      <c r="Q14" s="29"/>
      <c r="R14" s="29"/>
      <c r="S14" s="29"/>
      <c r="T14" s="29"/>
      <c r="U14" s="19"/>
      <c r="V14" s="29"/>
      <c r="W14" s="29"/>
      <c r="X14" s="29"/>
      <c r="Y14" s="20"/>
      <c r="Z14" s="29"/>
      <c r="AA14" s="21"/>
    </row>
    <row r="15" spans="1:27" ht="19.05" customHeight="1" x14ac:dyDescent="0.3">
      <c r="A15" s="9" t="s">
        <v>92</v>
      </c>
      <c r="B15" s="10" t="s">
        <v>93</v>
      </c>
      <c r="C15" s="11" t="s">
        <v>94</v>
      </c>
      <c r="D15" s="12" t="s">
        <v>95</v>
      </c>
      <c r="E15" s="10" t="s">
        <v>96</v>
      </c>
      <c r="F15" s="13" t="s">
        <v>97</v>
      </c>
      <c r="G15" s="13" t="s">
        <v>98</v>
      </c>
      <c r="H15" s="14">
        <v>5</v>
      </c>
      <c r="I15" s="15" t="s">
        <v>61</v>
      </c>
      <c r="J15" s="16">
        <v>1</v>
      </c>
      <c r="K15" s="18"/>
      <c r="L15" s="18"/>
      <c r="M15" s="18"/>
      <c r="N15" s="18"/>
      <c r="O15" s="18"/>
      <c r="P15" s="17" t="s">
        <v>62</v>
      </c>
      <c r="Q15" s="18"/>
      <c r="R15" s="18"/>
      <c r="S15" s="18"/>
      <c r="T15" s="18"/>
      <c r="U15" s="19"/>
      <c r="V15" s="18"/>
      <c r="W15" s="18"/>
      <c r="X15" s="18"/>
      <c r="Y15" s="20"/>
      <c r="Z15" s="18"/>
      <c r="AA15" s="21"/>
    </row>
    <row r="16" spans="1:27" ht="19.05" customHeight="1" x14ac:dyDescent="0.3">
      <c r="A16" s="22" t="s">
        <v>99</v>
      </c>
      <c r="B16" s="23" t="s">
        <v>100</v>
      </c>
      <c r="C16" s="24" t="s">
        <v>101</v>
      </c>
      <c r="D16" s="25" t="s">
        <v>102</v>
      </c>
      <c r="E16" s="23" t="s">
        <v>103</v>
      </c>
      <c r="F16" s="26" t="s">
        <v>104</v>
      </c>
      <c r="G16" s="26" t="s">
        <v>105</v>
      </c>
      <c r="H16" s="27">
        <v>5</v>
      </c>
      <c r="I16" s="15" t="s">
        <v>61</v>
      </c>
      <c r="J16" s="28">
        <v>1</v>
      </c>
      <c r="K16" s="29"/>
      <c r="L16" s="29"/>
      <c r="M16" s="29"/>
      <c r="N16" s="29"/>
      <c r="O16" s="29"/>
      <c r="P16" s="29"/>
      <c r="Q16" s="17" t="s">
        <v>62</v>
      </c>
      <c r="R16" s="29"/>
      <c r="S16" s="29"/>
      <c r="T16" s="29"/>
      <c r="U16" s="19"/>
      <c r="V16" s="29"/>
      <c r="W16" s="29"/>
      <c r="X16" s="29"/>
      <c r="Y16" s="20"/>
      <c r="Z16" s="29"/>
      <c r="AA16" s="21"/>
    </row>
    <row r="17" spans="1:27" ht="22.05" customHeight="1" x14ac:dyDescent="0.3">
      <c r="A17" s="67" t="s">
        <v>106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</row>
    <row r="18" spans="1:27" ht="19.05" customHeight="1" x14ac:dyDescent="0.3">
      <c r="A18" s="9" t="s">
        <v>107</v>
      </c>
      <c r="B18" s="10" t="s">
        <v>108</v>
      </c>
      <c r="C18" s="11" t="s">
        <v>109</v>
      </c>
      <c r="D18" s="12" t="s">
        <v>110</v>
      </c>
      <c r="E18" s="10" t="s">
        <v>74</v>
      </c>
      <c r="F18" s="13" t="s">
        <v>111</v>
      </c>
      <c r="G18" s="13" t="s">
        <v>112</v>
      </c>
      <c r="H18" s="14">
        <v>5</v>
      </c>
      <c r="I18" s="15" t="s">
        <v>61</v>
      </c>
      <c r="J18" s="16">
        <v>1</v>
      </c>
      <c r="K18" s="18"/>
      <c r="L18" s="18"/>
      <c r="M18" s="18"/>
      <c r="N18" s="18"/>
      <c r="O18" s="18"/>
      <c r="P18" s="18"/>
      <c r="Q18" s="18"/>
      <c r="R18" s="17" t="s">
        <v>62</v>
      </c>
      <c r="S18" s="18"/>
      <c r="T18" s="18"/>
      <c r="U18" s="19"/>
      <c r="V18" s="18"/>
      <c r="W18" s="18"/>
      <c r="X18" s="18"/>
      <c r="Y18" s="20"/>
      <c r="Z18" s="18"/>
      <c r="AA18" s="21"/>
    </row>
    <row r="19" spans="1:27" ht="19.05" customHeight="1" x14ac:dyDescent="0.3">
      <c r="A19" s="22" t="s">
        <v>113</v>
      </c>
      <c r="B19" s="23" t="s">
        <v>114</v>
      </c>
      <c r="C19" s="24" t="s">
        <v>115</v>
      </c>
      <c r="D19" s="25" t="s">
        <v>116</v>
      </c>
      <c r="E19" s="23" t="s">
        <v>82</v>
      </c>
      <c r="F19" s="26" t="s">
        <v>117</v>
      </c>
      <c r="G19" s="26" t="s">
        <v>118</v>
      </c>
      <c r="H19" s="27">
        <v>5</v>
      </c>
      <c r="I19" s="15" t="s">
        <v>61</v>
      </c>
      <c r="J19" s="28">
        <v>1</v>
      </c>
      <c r="K19" s="29"/>
      <c r="L19" s="29"/>
      <c r="M19" s="29"/>
      <c r="N19" s="29"/>
      <c r="O19" s="29"/>
      <c r="P19" s="29"/>
      <c r="Q19" s="29"/>
      <c r="R19" s="29"/>
      <c r="S19" s="17" t="s">
        <v>62</v>
      </c>
      <c r="T19" s="29"/>
      <c r="U19" s="19"/>
      <c r="V19" s="29"/>
      <c r="W19" s="29"/>
      <c r="X19" s="29"/>
      <c r="Y19" s="20"/>
      <c r="Z19" s="29"/>
      <c r="AA19" s="21"/>
    </row>
    <row r="20" spans="1:27" ht="19.05" customHeight="1" x14ac:dyDescent="0.3">
      <c r="A20" s="9" t="s">
        <v>119</v>
      </c>
      <c r="B20" s="10" t="s">
        <v>120</v>
      </c>
      <c r="C20" s="11" t="s">
        <v>121</v>
      </c>
      <c r="D20" s="12" t="s">
        <v>122</v>
      </c>
      <c r="E20" s="10" t="s">
        <v>123</v>
      </c>
      <c r="F20" s="13" t="s">
        <v>124</v>
      </c>
      <c r="G20" s="13" t="s">
        <v>125</v>
      </c>
      <c r="H20" s="14">
        <v>5</v>
      </c>
      <c r="I20" s="15" t="s">
        <v>61</v>
      </c>
      <c r="J20" s="16">
        <v>1</v>
      </c>
      <c r="K20" s="18"/>
      <c r="L20" s="18"/>
      <c r="M20" s="18"/>
      <c r="N20" s="18"/>
      <c r="O20" s="18"/>
      <c r="P20" s="18"/>
      <c r="Q20" s="18"/>
      <c r="R20" s="18"/>
      <c r="S20" s="18"/>
      <c r="T20" s="17" t="s">
        <v>62</v>
      </c>
      <c r="U20" s="19"/>
      <c r="V20" s="18"/>
      <c r="W20" s="18"/>
      <c r="X20" s="18"/>
      <c r="Y20" s="20"/>
      <c r="Z20" s="18"/>
      <c r="AA20" s="21"/>
    </row>
    <row r="21" spans="1:27" ht="19.05" customHeight="1" x14ac:dyDescent="0.3">
      <c r="A21" s="22" t="s">
        <v>126</v>
      </c>
      <c r="B21" s="23" t="s">
        <v>127</v>
      </c>
      <c r="C21" s="24" t="s">
        <v>128</v>
      </c>
      <c r="D21" s="25" t="s">
        <v>129</v>
      </c>
      <c r="E21" s="23" t="s">
        <v>130</v>
      </c>
      <c r="F21" s="26" t="s">
        <v>131</v>
      </c>
      <c r="G21" s="26" t="s">
        <v>132</v>
      </c>
      <c r="H21" s="27">
        <v>5</v>
      </c>
      <c r="I21" s="30" t="s">
        <v>133</v>
      </c>
      <c r="J21" s="28">
        <v>0.9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1" t="s">
        <v>134</v>
      </c>
      <c r="V21" s="29"/>
      <c r="W21" s="29"/>
      <c r="X21" s="29"/>
      <c r="Y21" s="20"/>
      <c r="Z21" s="29"/>
      <c r="AA21" s="21"/>
    </row>
    <row r="22" spans="1:27" ht="22.05" customHeight="1" x14ac:dyDescent="0.3">
      <c r="A22" s="67" t="s">
        <v>135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ht="19.05" customHeight="1" x14ac:dyDescent="0.3">
      <c r="A23" s="9" t="s">
        <v>136</v>
      </c>
      <c r="B23" s="10" t="s">
        <v>137</v>
      </c>
      <c r="C23" s="11" t="s">
        <v>138</v>
      </c>
      <c r="D23" s="12" t="s">
        <v>139</v>
      </c>
      <c r="E23" s="10" t="s">
        <v>140</v>
      </c>
      <c r="F23" s="13" t="s">
        <v>141</v>
      </c>
      <c r="G23" s="13" t="s">
        <v>142</v>
      </c>
      <c r="H23" s="14">
        <v>5</v>
      </c>
      <c r="I23" s="32" t="s">
        <v>143</v>
      </c>
      <c r="J23" s="16">
        <v>0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  <c r="V23" s="33" t="s">
        <v>144</v>
      </c>
      <c r="W23" s="18"/>
      <c r="X23" s="18"/>
      <c r="Y23" s="20"/>
      <c r="Z23" s="18"/>
      <c r="AA23" s="21"/>
    </row>
    <row r="24" spans="1:27" ht="19.05" customHeight="1" x14ac:dyDescent="0.3">
      <c r="A24" s="22" t="s">
        <v>145</v>
      </c>
      <c r="B24" s="23" t="s">
        <v>146</v>
      </c>
      <c r="C24" s="24" t="s">
        <v>147</v>
      </c>
      <c r="D24" s="25" t="s">
        <v>148</v>
      </c>
      <c r="E24" s="23" t="s">
        <v>103</v>
      </c>
      <c r="F24" s="26" t="s">
        <v>149</v>
      </c>
      <c r="G24" s="26" t="s">
        <v>150</v>
      </c>
      <c r="H24" s="27">
        <v>5</v>
      </c>
      <c r="I24" s="32" t="s">
        <v>143</v>
      </c>
      <c r="J24" s="28">
        <v>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9"/>
      <c r="V24" s="29"/>
      <c r="W24" s="33" t="s">
        <v>144</v>
      </c>
      <c r="X24" s="29"/>
      <c r="Y24" s="20"/>
      <c r="Z24" s="29"/>
      <c r="AA24" s="21"/>
    </row>
    <row r="25" spans="1:27" ht="19.05" customHeight="1" x14ac:dyDescent="0.3">
      <c r="A25" s="9" t="s">
        <v>151</v>
      </c>
      <c r="B25" s="10" t="s">
        <v>152</v>
      </c>
      <c r="C25" s="11" t="s">
        <v>153</v>
      </c>
      <c r="D25" s="12" t="s">
        <v>154</v>
      </c>
      <c r="E25" s="10" t="s">
        <v>103</v>
      </c>
      <c r="F25" s="13" t="s">
        <v>155</v>
      </c>
      <c r="G25" s="13" t="s">
        <v>156</v>
      </c>
      <c r="H25" s="14">
        <v>5</v>
      </c>
      <c r="I25" s="32" t="s">
        <v>143</v>
      </c>
      <c r="J25" s="16">
        <v>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  <c r="V25" s="18"/>
      <c r="W25" s="18"/>
      <c r="X25" s="33" t="s">
        <v>144</v>
      </c>
      <c r="Y25" s="20"/>
      <c r="Z25" s="18"/>
      <c r="AA25" s="21"/>
    </row>
    <row r="26" spans="1:27" ht="19.05" customHeight="1" x14ac:dyDescent="0.3">
      <c r="A26" s="34" t="s">
        <v>157</v>
      </c>
      <c r="B26" s="23" t="s">
        <v>158</v>
      </c>
      <c r="C26" s="84" t="s">
        <v>323</v>
      </c>
      <c r="D26" s="25" t="s">
        <v>159</v>
      </c>
      <c r="E26" s="86" t="s">
        <v>325</v>
      </c>
      <c r="F26" s="26" t="s">
        <v>160</v>
      </c>
      <c r="G26" s="26" t="s">
        <v>160</v>
      </c>
      <c r="H26" s="27">
        <v>1</v>
      </c>
      <c r="I26" s="35" t="s">
        <v>161</v>
      </c>
      <c r="J26" s="28">
        <v>0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9"/>
      <c r="V26" s="29"/>
      <c r="W26" s="29"/>
      <c r="X26" s="29"/>
      <c r="Y26" s="36" t="s">
        <v>162</v>
      </c>
      <c r="Z26" s="29"/>
      <c r="AA26" s="21"/>
    </row>
    <row r="27" spans="1:27" ht="19.05" customHeight="1" x14ac:dyDescent="0.3">
      <c r="A27" s="9" t="s">
        <v>163</v>
      </c>
      <c r="B27" s="10" t="s">
        <v>164</v>
      </c>
      <c r="C27" s="11" t="s">
        <v>165</v>
      </c>
      <c r="D27" s="12" t="s">
        <v>166</v>
      </c>
      <c r="E27" s="10" t="s">
        <v>67</v>
      </c>
      <c r="F27" s="13" t="s">
        <v>167</v>
      </c>
      <c r="G27" s="13" t="s">
        <v>168</v>
      </c>
      <c r="H27" s="14">
        <v>4</v>
      </c>
      <c r="I27" s="32" t="s">
        <v>143</v>
      </c>
      <c r="J27" s="16">
        <v>0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  <c r="V27" s="18"/>
      <c r="W27" s="18"/>
      <c r="X27" s="18"/>
      <c r="Y27" s="33" t="s">
        <v>144</v>
      </c>
      <c r="Z27" s="18"/>
      <c r="AA27" s="21"/>
    </row>
    <row r="28" spans="1:27" ht="22.05" customHeight="1" x14ac:dyDescent="0.3">
      <c r="A28" s="67" t="s">
        <v>169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9.05" customHeight="1" x14ac:dyDescent="0.3">
      <c r="A29" s="9" t="s">
        <v>170</v>
      </c>
      <c r="B29" s="10" t="s">
        <v>171</v>
      </c>
      <c r="C29" s="11" t="s">
        <v>172</v>
      </c>
      <c r="D29" s="12" t="s">
        <v>173</v>
      </c>
      <c r="E29" s="10" t="s">
        <v>130</v>
      </c>
      <c r="F29" s="13" t="s">
        <v>174</v>
      </c>
      <c r="G29" s="13" t="s">
        <v>175</v>
      </c>
      <c r="H29" s="14">
        <v>5</v>
      </c>
      <c r="I29" s="32" t="s">
        <v>143</v>
      </c>
      <c r="J29" s="16">
        <v>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  <c r="V29" s="18"/>
      <c r="W29" s="18"/>
      <c r="X29" s="18"/>
      <c r="Y29" s="20"/>
      <c r="Z29" s="33" t="s">
        <v>144</v>
      </c>
      <c r="AA29" s="21"/>
    </row>
    <row r="30" spans="1:27" ht="19.05" customHeight="1" x14ac:dyDescent="0.3">
      <c r="A30" s="22" t="s">
        <v>176</v>
      </c>
      <c r="B30" s="23" t="s">
        <v>177</v>
      </c>
      <c r="C30" s="24" t="s">
        <v>178</v>
      </c>
      <c r="D30" s="25" t="s">
        <v>179</v>
      </c>
      <c r="E30" s="23" t="s">
        <v>103</v>
      </c>
      <c r="F30" s="26" t="s">
        <v>180</v>
      </c>
      <c r="G30" s="26" t="s">
        <v>181</v>
      </c>
      <c r="H30" s="27">
        <v>2</v>
      </c>
      <c r="I30" s="32" t="s">
        <v>143</v>
      </c>
      <c r="J30" s="28">
        <v>0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9"/>
      <c r="V30" s="29"/>
      <c r="W30" s="29"/>
      <c r="X30" s="29"/>
      <c r="Y30" s="20"/>
      <c r="Z30" s="33" t="s">
        <v>144</v>
      </c>
      <c r="AA30" s="21"/>
    </row>
    <row r="31" spans="1:27" ht="19.05" customHeight="1" x14ac:dyDescent="0.3">
      <c r="A31" s="37" t="s">
        <v>182</v>
      </c>
      <c r="B31" s="10" t="s">
        <v>183</v>
      </c>
      <c r="C31" s="85" t="s">
        <v>324</v>
      </c>
      <c r="D31" s="12" t="s">
        <v>184</v>
      </c>
      <c r="E31" s="10" t="s">
        <v>185</v>
      </c>
      <c r="F31" s="13" t="s">
        <v>186</v>
      </c>
      <c r="G31" s="13" t="s">
        <v>186</v>
      </c>
      <c r="H31" s="14">
        <v>1</v>
      </c>
      <c r="I31" s="38" t="s">
        <v>187</v>
      </c>
      <c r="J31" s="16">
        <v>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/>
      <c r="V31" s="18"/>
      <c r="W31" s="18"/>
      <c r="X31" s="18"/>
      <c r="Y31" s="20"/>
      <c r="Z31" s="18"/>
      <c r="AA31" s="39" t="s">
        <v>188</v>
      </c>
    </row>
    <row r="32" spans="1:27" ht="22.05" customHeight="1" x14ac:dyDescent="0.3">
      <c r="A32" s="63" t="s">
        <v>189</v>
      </c>
      <c r="B32" s="64"/>
      <c r="C32" s="64"/>
      <c r="D32" s="64"/>
      <c r="E32" s="64"/>
      <c r="F32" s="64"/>
      <c r="G32" s="64"/>
      <c r="H32" s="40">
        <f>H9+H10+H11+H13+H14+H15+H16+H18+H19+H20+H21+H23+H24+H25+H26+H27+H29+H30+H31</f>
        <v>83</v>
      </c>
      <c r="I32" s="40" t="s">
        <v>190</v>
      </c>
      <c r="J32" s="41">
        <f>AVERAGE(J9,J10,J11,J13,J14,J15,J16,J18,J19,J20,J21,J23,J24,J25,J26,J27,J29,J30,J31)</f>
        <v>0.5736842105263158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</sheetData>
  <mergeCells count="25">
    <mergeCell ref="A1:AA1"/>
    <mergeCell ref="F6:F7"/>
    <mergeCell ref="A3:AA3"/>
    <mergeCell ref="A5:C5"/>
    <mergeCell ref="G5:I5"/>
    <mergeCell ref="A2:AA2"/>
    <mergeCell ref="G6:G7"/>
    <mergeCell ref="E6:E7"/>
    <mergeCell ref="J5:M5"/>
    <mergeCell ref="B6:B7"/>
    <mergeCell ref="N5:AA5"/>
    <mergeCell ref="A4:AA4"/>
    <mergeCell ref="D5:F5"/>
    <mergeCell ref="I6:I7"/>
    <mergeCell ref="C6:C7"/>
    <mergeCell ref="D6:D7"/>
    <mergeCell ref="A32:G32"/>
    <mergeCell ref="H6:H7"/>
    <mergeCell ref="J6:J7"/>
    <mergeCell ref="A6:A7"/>
    <mergeCell ref="A12:AA12"/>
    <mergeCell ref="A8:AA8"/>
    <mergeCell ref="A17:AA17"/>
    <mergeCell ref="A22:AA22"/>
    <mergeCell ref="A28:AA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3" width="13" customWidth="1"/>
    <col min="4" max="4" width="22" customWidth="1"/>
    <col min="5" max="6" width="42" customWidth="1"/>
    <col min="7" max="7" width="16" customWidth="1"/>
  </cols>
  <sheetData>
    <row r="1" spans="1:7" ht="25.95" customHeight="1" x14ac:dyDescent="0.3">
      <c r="A1" s="80" t="s">
        <v>191</v>
      </c>
      <c r="B1" s="64"/>
      <c r="C1" s="64"/>
      <c r="D1" s="64"/>
      <c r="E1" s="64"/>
      <c r="F1" s="64"/>
      <c r="G1" s="64"/>
    </row>
    <row r="2" spans="1:7" ht="19.95" customHeight="1" x14ac:dyDescent="0.3">
      <c r="A2" s="79" t="s">
        <v>192</v>
      </c>
      <c r="B2" s="64"/>
      <c r="C2" s="64"/>
      <c r="D2" s="64"/>
      <c r="E2" s="64"/>
      <c r="F2" s="64"/>
      <c r="G2" s="64"/>
    </row>
    <row r="4" spans="1:7" ht="24" customHeight="1" x14ac:dyDescent="0.3">
      <c r="A4" s="43" t="s">
        <v>193</v>
      </c>
      <c r="B4" s="43" t="s">
        <v>194</v>
      </c>
      <c r="C4" s="43" t="s">
        <v>195</v>
      </c>
      <c r="D4" s="43" t="s">
        <v>196</v>
      </c>
      <c r="E4" s="43" t="s">
        <v>197</v>
      </c>
      <c r="F4" s="43" t="s">
        <v>198</v>
      </c>
      <c r="G4" s="43" t="s">
        <v>199</v>
      </c>
    </row>
    <row r="5" spans="1:7" ht="42" customHeight="1" x14ac:dyDescent="0.3">
      <c r="A5" s="44" t="s">
        <v>157</v>
      </c>
      <c r="B5" s="45" t="s">
        <v>200</v>
      </c>
      <c r="C5" s="46" t="s">
        <v>60</v>
      </c>
      <c r="D5" s="47" t="s">
        <v>55</v>
      </c>
      <c r="E5" s="47" t="s">
        <v>201</v>
      </c>
      <c r="F5" s="47" t="s">
        <v>202</v>
      </c>
      <c r="G5" s="48" t="s">
        <v>61</v>
      </c>
    </row>
    <row r="6" spans="1:7" ht="42" customHeight="1" x14ac:dyDescent="0.3">
      <c r="A6" s="49" t="s">
        <v>182</v>
      </c>
      <c r="B6" s="50" t="s">
        <v>203</v>
      </c>
      <c r="C6" s="51" t="s">
        <v>98</v>
      </c>
      <c r="D6" s="52" t="s">
        <v>204</v>
      </c>
      <c r="E6" s="52" t="s">
        <v>205</v>
      </c>
      <c r="F6" s="52" t="s">
        <v>206</v>
      </c>
      <c r="G6" s="48" t="s">
        <v>61</v>
      </c>
    </row>
    <row r="7" spans="1:7" ht="42" customHeight="1" x14ac:dyDescent="0.3">
      <c r="A7" s="44" t="s">
        <v>207</v>
      </c>
      <c r="B7" s="45" t="s">
        <v>208</v>
      </c>
      <c r="C7" s="46" t="s">
        <v>132</v>
      </c>
      <c r="D7" s="47" t="s">
        <v>209</v>
      </c>
      <c r="E7" s="47" t="s">
        <v>210</v>
      </c>
      <c r="F7" s="47" t="s">
        <v>211</v>
      </c>
      <c r="G7" s="53" t="s">
        <v>212</v>
      </c>
    </row>
    <row r="8" spans="1:7" ht="42" customHeight="1" x14ac:dyDescent="0.3">
      <c r="A8" s="49" t="s">
        <v>213</v>
      </c>
      <c r="B8" s="82" t="s">
        <v>322</v>
      </c>
      <c r="C8" s="51" t="s">
        <v>160</v>
      </c>
      <c r="D8" s="52" t="s">
        <v>214</v>
      </c>
      <c r="E8" s="52" t="s">
        <v>215</v>
      </c>
      <c r="F8" s="52" t="s">
        <v>216</v>
      </c>
      <c r="G8" s="54" t="s">
        <v>161</v>
      </c>
    </row>
    <row r="9" spans="1:7" ht="42" customHeight="1" x14ac:dyDescent="0.3">
      <c r="A9" s="44" t="s">
        <v>217</v>
      </c>
      <c r="B9" s="83" t="s">
        <v>321</v>
      </c>
      <c r="C9" s="46" t="s">
        <v>186</v>
      </c>
      <c r="D9" s="47" t="s">
        <v>218</v>
      </c>
      <c r="E9" s="47" t="s">
        <v>219</v>
      </c>
      <c r="F9" s="47" t="s">
        <v>220</v>
      </c>
      <c r="G9" s="55" t="s">
        <v>187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11" workbookViewId="0">
      <selection sqref="A1:F1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40" customWidth="1"/>
    <col min="4" max="5" width="35" customWidth="1"/>
    <col min="6" max="6" width="15" customWidth="1"/>
  </cols>
  <sheetData>
    <row r="1" spans="1:6" ht="25.95" customHeight="1" x14ac:dyDescent="0.3">
      <c r="A1" s="80" t="s">
        <v>221</v>
      </c>
      <c r="B1" s="64"/>
      <c r="C1" s="64"/>
      <c r="D1" s="64"/>
      <c r="E1" s="64"/>
      <c r="F1" s="64"/>
    </row>
    <row r="2" spans="1:6" ht="19.95" customHeight="1" x14ac:dyDescent="0.3">
      <c r="A2" s="79" t="s">
        <v>222</v>
      </c>
      <c r="B2" s="64"/>
      <c r="C2" s="64"/>
      <c r="D2" s="64"/>
      <c r="E2" s="64"/>
      <c r="F2" s="64"/>
    </row>
    <row r="4" spans="1:6" ht="22.05" customHeight="1" x14ac:dyDescent="0.3">
      <c r="A4" s="81" t="s">
        <v>223</v>
      </c>
      <c r="B4" s="64"/>
      <c r="C4" s="64"/>
      <c r="D4" s="64"/>
      <c r="E4" s="64"/>
      <c r="F4" s="64"/>
    </row>
    <row r="5" spans="1:6" ht="24" customHeight="1" x14ac:dyDescent="0.3">
      <c r="A5" s="1" t="s">
        <v>224</v>
      </c>
      <c r="B5" s="1" t="s">
        <v>225</v>
      </c>
      <c r="C5" s="1" t="s">
        <v>226</v>
      </c>
      <c r="D5" s="1" t="s">
        <v>227</v>
      </c>
      <c r="E5" s="1" t="s">
        <v>228</v>
      </c>
      <c r="F5" s="1" t="s">
        <v>229</v>
      </c>
    </row>
    <row r="6" spans="1:6" ht="28.05" customHeight="1" x14ac:dyDescent="0.3">
      <c r="A6" s="56" t="s">
        <v>230</v>
      </c>
      <c r="B6" s="56" t="s">
        <v>231</v>
      </c>
      <c r="C6" s="57" t="s">
        <v>232</v>
      </c>
      <c r="D6" s="57" t="s">
        <v>233</v>
      </c>
      <c r="E6" s="57" t="s">
        <v>234</v>
      </c>
      <c r="F6" s="58" t="s">
        <v>235</v>
      </c>
    </row>
    <row r="7" spans="1:6" ht="28.05" customHeight="1" x14ac:dyDescent="0.3">
      <c r="A7" s="59" t="s">
        <v>236</v>
      </c>
      <c r="B7" s="59" t="s">
        <v>237</v>
      </c>
      <c r="C7" s="60" t="s">
        <v>238</v>
      </c>
      <c r="D7" s="60" t="s">
        <v>239</v>
      </c>
      <c r="E7" s="60" t="s">
        <v>240</v>
      </c>
      <c r="F7" s="58" t="s">
        <v>235</v>
      </c>
    </row>
    <row r="8" spans="1:6" ht="28.05" customHeight="1" x14ac:dyDescent="0.3">
      <c r="A8" s="56" t="s">
        <v>241</v>
      </c>
      <c r="B8" s="56" t="s">
        <v>242</v>
      </c>
      <c r="C8" s="57" t="s">
        <v>243</v>
      </c>
      <c r="D8" s="57" t="s">
        <v>244</v>
      </c>
      <c r="E8" s="57" t="s">
        <v>245</v>
      </c>
      <c r="F8" s="58" t="s">
        <v>235</v>
      </c>
    </row>
    <row r="9" spans="1:6" ht="28.05" customHeight="1" x14ac:dyDescent="0.3">
      <c r="A9" s="59" t="s">
        <v>246</v>
      </c>
      <c r="B9" s="59" t="s">
        <v>247</v>
      </c>
      <c r="C9" s="60" t="s">
        <v>248</v>
      </c>
      <c r="D9" s="60" t="s">
        <v>249</v>
      </c>
      <c r="E9" s="60" t="s">
        <v>250</v>
      </c>
      <c r="F9" s="58" t="s">
        <v>235</v>
      </c>
    </row>
    <row r="10" spans="1:6" ht="28.05" customHeight="1" x14ac:dyDescent="0.3">
      <c r="A10" s="56" t="s">
        <v>251</v>
      </c>
      <c r="B10" s="56" t="s">
        <v>237</v>
      </c>
      <c r="C10" s="57" t="s">
        <v>252</v>
      </c>
      <c r="D10" s="57" t="s">
        <v>253</v>
      </c>
      <c r="E10" s="57" t="s">
        <v>254</v>
      </c>
      <c r="F10" s="58" t="s">
        <v>235</v>
      </c>
    </row>
    <row r="11" spans="1:6" ht="28.05" customHeight="1" x14ac:dyDescent="0.3">
      <c r="A11" s="59" t="s">
        <v>255</v>
      </c>
      <c r="B11" s="59" t="s">
        <v>231</v>
      </c>
      <c r="C11" s="60" t="s">
        <v>256</v>
      </c>
      <c r="D11" s="60" t="s">
        <v>257</v>
      </c>
      <c r="E11" s="60" t="s">
        <v>258</v>
      </c>
      <c r="F11" s="58" t="s">
        <v>235</v>
      </c>
    </row>
    <row r="14" spans="1:6" ht="22.05" customHeight="1" x14ac:dyDescent="0.3">
      <c r="A14" s="81" t="s">
        <v>259</v>
      </c>
      <c r="B14" s="64"/>
      <c r="C14" s="64"/>
      <c r="D14" s="64"/>
      <c r="E14" s="64"/>
      <c r="F14" s="64"/>
    </row>
    <row r="15" spans="1:6" ht="22.05" customHeight="1" x14ac:dyDescent="0.3">
      <c r="A15" s="1" t="s">
        <v>260</v>
      </c>
      <c r="B15" s="1" t="s">
        <v>261</v>
      </c>
      <c r="C15" s="1" t="s">
        <v>262</v>
      </c>
      <c r="D15" s="1" t="s">
        <v>263</v>
      </c>
      <c r="E15" s="1" t="s">
        <v>264</v>
      </c>
      <c r="F15" s="1" t="s">
        <v>265</v>
      </c>
    </row>
    <row r="16" spans="1:6" ht="24" customHeight="1" x14ac:dyDescent="0.3">
      <c r="A16" s="61" t="s">
        <v>266</v>
      </c>
      <c r="B16" s="10" t="s">
        <v>267</v>
      </c>
      <c r="C16" s="13" t="s">
        <v>268</v>
      </c>
      <c r="D16" s="14" t="s">
        <v>269</v>
      </c>
      <c r="E16" s="13" t="s">
        <v>270</v>
      </c>
      <c r="F16" s="15" t="s">
        <v>271</v>
      </c>
    </row>
    <row r="17" spans="1:6" ht="24" customHeight="1" x14ac:dyDescent="0.3">
      <c r="A17" s="62" t="s">
        <v>272</v>
      </c>
      <c r="B17" s="23" t="s">
        <v>273</v>
      </c>
      <c r="C17" s="26" t="s">
        <v>274</v>
      </c>
      <c r="D17" s="27" t="s">
        <v>275</v>
      </c>
      <c r="E17" s="26" t="s">
        <v>276</v>
      </c>
      <c r="F17" s="15" t="s">
        <v>271</v>
      </c>
    </row>
    <row r="18" spans="1:6" ht="24" customHeight="1" x14ac:dyDescent="0.3">
      <c r="A18" s="61" t="s">
        <v>277</v>
      </c>
      <c r="B18" s="10" t="s">
        <v>278</v>
      </c>
      <c r="C18" s="13" t="s">
        <v>279</v>
      </c>
      <c r="D18" s="14" t="s">
        <v>280</v>
      </c>
      <c r="E18" s="13" t="s">
        <v>281</v>
      </c>
      <c r="F18" s="15" t="s">
        <v>271</v>
      </c>
    </row>
    <row r="19" spans="1:6" ht="24" customHeight="1" x14ac:dyDescent="0.3">
      <c r="A19" s="62" t="s">
        <v>282</v>
      </c>
      <c r="B19" s="23" t="s">
        <v>283</v>
      </c>
      <c r="C19" s="26" t="s">
        <v>284</v>
      </c>
      <c r="D19" s="27" t="s">
        <v>285</v>
      </c>
      <c r="E19" s="26" t="s">
        <v>286</v>
      </c>
      <c r="F19" s="15" t="s">
        <v>271</v>
      </c>
    </row>
    <row r="20" spans="1:6" ht="24" customHeight="1" x14ac:dyDescent="0.3">
      <c r="A20" s="61" t="s">
        <v>287</v>
      </c>
      <c r="B20" s="10" t="s">
        <v>288</v>
      </c>
      <c r="C20" s="13" t="s">
        <v>289</v>
      </c>
      <c r="D20" s="14" t="s">
        <v>290</v>
      </c>
      <c r="E20" s="13" t="s">
        <v>291</v>
      </c>
      <c r="F20" s="15" t="s">
        <v>271</v>
      </c>
    </row>
    <row r="22" spans="1:6" ht="22.05" customHeight="1" x14ac:dyDescent="0.3">
      <c r="A22" s="81" t="s">
        <v>292</v>
      </c>
      <c r="B22" s="64"/>
      <c r="C22" s="64"/>
      <c r="D22" s="64"/>
      <c r="E22" s="64"/>
      <c r="F22" s="64"/>
    </row>
    <row r="23" spans="1:6" ht="22.05" customHeight="1" x14ac:dyDescent="0.3">
      <c r="A23" s="1" t="s">
        <v>293</v>
      </c>
      <c r="B23" s="1" t="s">
        <v>294</v>
      </c>
      <c r="C23" s="1" t="s">
        <v>295</v>
      </c>
      <c r="D23" s="1" t="s">
        <v>296</v>
      </c>
      <c r="E23" s="1" t="s">
        <v>297</v>
      </c>
      <c r="F23" s="1" t="s">
        <v>298</v>
      </c>
    </row>
    <row r="24" spans="1:6" ht="24" customHeight="1" x14ac:dyDescent="0.3">
      <c r="A24" s="61" t="s">
        <v>299</v>
      </c>
      <c r="B24" s="13" t="s">
        <v>300</v>
      </c>
      <c r="C24" s="13" t="s">
        <v>301</v>
      </c>
      <c r="D24" s="10" t="s">
        <v>302</v>
      </c>
      <c r="E24" s="10" t="s">
        <v>303</v>
      </c>
      <c r="F24" s="10" t="s">
        <v>304</v>
      </c>
    </row>
    <row r="25" spans="1:6" ht="24" customHeight="1" x14ac:dyDescent="0.3">
      <c r="A25" s="62" t="s">
        <v>305</v>
      </c>
      <c r="B25" s="26" t="s">
        <v>306</v>
      </c>
      <c r="C25" s="26" t="s">
        <v>307</v>
      </c>
      <c r="D25" s="23" t="s">
        <v>302</v>
      </c>
      <c r="E25" s="23" t="s">
        <v>308</v>
      </c>
      <c r="F25" s="23" t="s">
        <v>309</v>
      </c>
    </row>
    <row r="26" spans="1:6" ht="24" customHeight="1" x14ac:dyDescent="0.3">
      <c r="A26" s="61" t="s">
        <v>310</v>
      </c>
      <c r="B26" s="13" t="s">
        <v>311</v>
      </c>
      <c r="C26" s="13" t="s">
        <v>312</v>
      </c>
      <c r="D26" s="10" t="s">
        <v>302</v>
      </c>
      <c r="E26" s="10" t="s">
        <v>313</v>
      </c>
      <c r="F26" s="10" t="s">
        <v>314</v>
      </c>
    </row>
    <row r="27" spans="1:6" ht="24" customHeight="1" x14ac:dyDescent="0.3">
      <c r="A27" s="62" t="s">
        <v>315</v>
      </c>
      <c r="B27" s="26" t="s">
        <v>316</v>
      </c>
      <c r="C27" s="26" t="s">
        <v>317</v>
      </c>
      <c r="D27" s="23" t="s">
        <v>318</v>
      </c>
      <c r="E27" s="23" t="s">
        <v>319</v>
      </c>
      <c r="F27" s="23" t="s">
        <v>320</v>
      </c>
    </row>
  </sheetData>
  <mergeCells count="5">
    <mergeCell ref="A2:F2"/>
    <mergeCell ref="A14:F14"/>
    <mergeCell ref="A1:F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Gantt ATLAS</vt:lpstr>
      <vt:lpstr>Hitos y Entregables Clave</vt:lpstr>
      <vt:lpstr>Métricas Kanban y Gobernanza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Sáez</cp:lastModifiedBy>
  <dcterms:created xsi:type="dcterms:W3CDTF">2026-10-22T22:05:27Z</dcterms:created>
  <dcterms:modified xsi:type="dcterms:W3CDTF">2026-10-22T22:14:16Z</dcterms:modified>
</cp:coreProperties>
</file>