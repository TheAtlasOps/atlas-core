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 ATLAS" sheetId="1" state="visible" r:id="rId1"/>
    <sheet xmlns:r="http://schemas.openxmlformats.org/officeDocument/2006/relationships" name="Hitos y Entregables Clave" sheetId="2" state="visible" r:id="rId2"/>
    <sheet xmlns:r="http://schemas.openxmlformats.org/officeDocument/2006/relationships" name="Métricas Kanban y Gobernan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333333"/>
      <sz val="10"/>
    </font>
    <font>
      <name val="Calibri"/>
      <b val="1"/>
      <color rgb="001F3864"/>
      <sz val="9"/>
    </font>
    <font>
      <name val="Calibri"/>
      <b val="1"/>
      <color rgb="00833C0C"/>
      <sz val="9"/>
    </font>
    <font>
      <name val="Calibri"/>
      <b val="1"/>
      <color rgb="00C00000"/>
      <sz val="9"/>
    </font>
    <font>
      <name val="Calibri"/>
      <b val="1"/>
      <color rgb="007030A0"/>
      <sz val="9"/>
    </font>
    <font>
      <name val="Calibri"/>
      <i val="1"/>
      <color rgb="00333333"/>
      <sz val="8"/>
    </font>
    <font>
      <name val="Calibri"/>
      <b val="1"/>
      <color rgb="00FFFFFF"/>
      <sz val="9"/>
    </font>
    <font>
      <name val="Calibri"/>
      <b val="1"/>
      <color rgb="00FFFFFF"/>
      <sz val="7.5"/>
    </font>
    <font>
      <name val="Calibri"/>
      <b val="1"/>
      <color rgb="001F3864"/>
      <sz val="10"/>
    </font>
    <font>
      <name val="Calibri"/>
      <color rgb="001F3864"/>
      <sz val="9"/>
    </font>
    <font>
      <name val="Calibri"/>
      <color rgb="00333333"/>
      <sz val="8.5"/>
    </font>
    <font>
      <name val="Calibri"/>
      <i val="1"/>
      <color rgb="00555555"/>
      <sz val="8.5"/>
    </font>
    <font>
      <name val="Calibri"/>
      <b val="1"/>
      <color rgb="00333333"/>
      <sz val="8.5"/>
    </font>
    <font>
      <name val="Calibri"/>
      <b val="1"/>
      <color rgb="00375623"/>
      <sz val="8.5"/>
    </font>
    <font>
      <name val="Calibri"/>
      <b val="1"/>
      <color rgb="00833C0C"/>
      <sz val="8.5"/>
    </font>
    <font>
      <name val="Calibri"/>
      <b val="1"/>
      <color rgb="002E5496"/>
      <sz val="8.5"/>
    </font>
    <font>
      <name val="Calibri"/>
      <color rgb="001F3864"/>
      <sz val="7.5"/>
    </font>
    <font>
      <name val="Calibri"/>
      <b val="1"/>
      <color rgb="00C00000"/>
      <sz val="8.5"/>
    </font>
    <font>
      <name val="Calibri"/>
      <b val="1"/>
      <color rgb="007030A0"/>
      <sz val="8.5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FFFFFF"/>
      <sz val="9.5"/>
    </font>
    <font>
      <name val="Calibri"/>
      <color rgb="00333333"/>
      <sz val="9"/>
    </font>
    <font>
      <name val="Calibri"/>
      <b val="1"/>
      <color rgb="00333333"/>
      <sz val="9"/>
    </font>
    <font>
      <name val="Calibri"/>
      <b val="1"/>
      <color rgb="00375623"/>
      <sz val="9"/>
    </font>
    <font>
      <name val="Calibri"/>
      <b val="1"/>
      <color rgb="001F3864"/>
      <sz val="11"/>
    </font>
    <font>
      <name val="Calibri"/>
      <b val="1"/>
      <color rgb="001F3864"/>
      <sz val="8.5"/>
    </font>
  </fonts>
  <fills count="2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8EEF5"/>
        <bgColor rgb="00E8EEF5"/>
      </patternFill>
    </fill>
    <fill>
      <patternFill patternType="solid">
        <fgColor rgb="002E5496"/>
        <bgColor rgb="002E5496"/>
      </patternFill>
    </fill>
    <fill>
      <patternFill patternType="solid">
        <fgColor rgb="00C65911"/>
        <bgColor rgb="00C65911"/>
      </patternFill>
    </fill>
    <fill>
      <patternFill patternType="solid">
        <fgColor rgb="00D56B1B"/>
        <bgColor rgb="00D56B1B"/>
      </patternFill>
    </fill>
    <fill>
      <patternFill patternType="solid">
        <fgColor rgb="00C00000"/>
        <bgColor rgb="00C00000"/>
      </patternFill>
    </fill>
    <fill>
      <patternFill patternType="solid">
        <fgColor rgb="009B0000"/>
        <bgColor rgb="009B0000"/>
      </patternFill>
    </fill>
    <fill>
      <patternFill patternType="solid">
        <fgColor rgb="007030A0"/>
        <bgColor rgb="007030A0"/>
      </patternFill>
    </fill>
    <fill>
      <patternFill patternType="solid">
        <fgColor rgb="00592480"/>
        <bgColor rgb="0059248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FFF9E6"/>
        <bgColor rgb="00FFF9E6"/>
      </patternFill>
    </fill>
    <fill>
      <patternFill patternType="solid">
        <fgColor rgb="00FFF0F0"/>
        <bgColor rgb="00FFF0F0"/>
      </patternFill>
    </fill>
    <fill>
      <patternFill patternType="solid">
        <fgColor rgb="00F5EEF8"/>
        <bgColor rgb="00F5EEF8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EDF2F8"/>
        <bgColor rgb="00EDF2F8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8D7F1"/>
        <bgColor rgb="00E8D7F1"/>
      </patternFill>
    </fill>
  </fills>
  <borders count="5">
    <border>
      <left/>
      <right/>
      <top/>
      <bottom/>
      <diagonal/>
    </border>
    <border>
      <bottom style="medium">
        <color rgb="001F4E79"/>
      </bottom>
    </border>
    <border>
      <left style="thin">
        <color rgb="00FFFFFF"/>
      </left>
      <right style="thin">
        <color rgb="00FFFFFF"/>
      </right>
      <top style="medium">
        <color rgb="001F3864"/>
      </top>
      <bottom style="medium">
        <color rgb="001F3864"/>
      </bottom>
    </border>
    <border>
      <top style="thin">
        <color rgb="00B4C6E7"/>
      </top>
      <bottom style="thin">
        <color rgb="00B4C6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12" fillId="15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left" vertical="center"/>
    </xf>
    <xf numFmtId="0" fontId="14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5" fillId="15" borderId="4" applyAlignment="1" pivotButton="0" quotePrefix="0" xfId="0">
      <alignment horizontal="center" vertical="center"/>
    </xf>
    <xf numFmtId="0" fontId="16" fillId="14" borderId="4" applyAlignment="1" pivotButton="0" quotePrefix="0" xfId="0">
      <alignment horizontal="center" vertical="center"/>
    </xf>
    <xf numFmtId="9" fontId="15" fillId="15" borderId="4" applyAlignment="1" pivotButton="0" quotePrefix="0" xfId="0">
      <alignment horizontal="center" vertical="center"/>
    </xf>
    <xf numFmtId="0" fontId="10" fillId="16" borderId="4" applyAlignment="1" pivotButton="0" quotePrefix="0" xfId="0">
      <alignment horizontal="center" vertical="center"/>
    </xf>
    <xf numFmtId="0" fontId="0" fillId="15" borderId="4" pivotButton="0" quotePrefix="0" xfId="0"/>
    <xf numFmtId="0" fontId="0" fillId="17" borderId="4" pivotButton="0" quotePrefix="0" xfId="0"/>
    <xf numFmtId="0" fontId="0" fillId="18" borderId="4" pivotButton="0" quotePrefix="0" xfId="0"/>
    <xf numFmtId="0" fontId="0" fillId="19" borderId="4" pivotButton="0" quotePrefix="0" xfId="0"/>
    <xf numFmtId="0" fontId="12" fillId="20" borderId="4" applyAlignment="1" pivotButton="0" quotePrefix="0" xfId="0">
      <alignment horizontal="center" vertical="center"/>
    </xf>
    <xf numFmtId="0" fontId="13" fillId="20" borderId="4" applyAlignment="1" pivotButton="0" quotePrefix="0" xfId="0">
      <alignment horizontal="left" vertical="center"/>
    </xf>
    <xf numFmtId="0" fontId="12" fillId="20" borderId="4" applyAlignment="1" pivotButton="0" quotePrefix="0" xfId="0">
      <alignment horizontal="left" vertical="center"/>
    </xf>
    <xf numFmtId="0" fontId="14" fillId="20" borderId="4" applyAlignment="1" pivotButton="0" quotePrefix="0" xfId="0">
      <alignment horizontal="left" vertical="center"/>
    </xf>
    <xf numFmtId="0" fontId="13" fillId="20" borderId="4" applyAlignment="1" pivotButton="0" quotePrefix="0" xfId="0">
      <alignment horizontal="center" vertical="center"/>
    </xf>
    <xf numFmtId="0" fontId="15" fillId="20" borderId="4" applyAlignment="1" pivotButton="0" quotePrefix="0" xfId="0">
      <alignment horizontal="center" vertical="center"/>
    </xf>
    <xf numFmtId="9" fontId="15" fillId="20" borderId="4" applyAlignment="1" pivotButton="0" quotePrefix="0" xfId="0">
      <alignment horizontal="center" vertical="center"/>
    </xf>
    <xf numFmtId="0" fontId="0" fillId="20" borderId="4" pivotButton="0" quotePrefix="0" xfId="0"/>
    <xf numFmtId="0" fontId="17" fillId="21" borderId="4" applyAlignment="1" pivotButton="0" quotePrefix="0" xfId="0">
      <alignment horizontal="center" vertical="center"/>
    </xf>
    <xf numFmtId="0" fontId="10" fillId="22" borderId="4" applyAlignment="1" pivotButton="0" quotePrefix="0" xfId="0">
      <alignment horizontal="center" vertical="center"/>
    </xf>
    <xf numFmtId="0" fontId="18" fillId="23" borderId="4" applyAlignment="1" pivotButton="0" quotePrefix="0" xfId="0">
      <alignment horizontal="center" vertical="center"/>
    </xf>
    <xf numFmtId="0" fontId="19" fillId="24" borderId="4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6" fillId="20" borderId="4" applyAlignment="1" pivotButton="0" quotePrefix="0" xfId="0">
      <alignment horizontal="left" vertical="center"/>
    </xf>
    <xf numFmtId="0" fontId="20" fillId="25" borderId="4" applyAlignment="1" pivotButton="0" quotePrefix="0" xfId="0">
      <alignment horizontal="center" vertical="center"/>
    </xf>
    <xf numFmtId="0" fontId="10" fillId="9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left" vertical="center"/>
    </xf>
    <xf numFmtId="0" fontId="21" fillId="26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2" fillId="2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left" vertical="center" wrapText="1"/>
    </xf>
    <xf numFmtId="0" fontId="25" fillId="20" borderId="4" applyAlignment="1" pivotButton="0" quotePrefix="0" xfId="0">
      <alignment horizontal="center" vertical="center" wrapText="1"/>
    </xf>
    <xf numFmtId="0" fontId="25" fillId="20" borderId="4" applyAlignment="1" pivotButton="0" quotePrefix="0" xfId="0">
      <alignment horizontal="left" vertical="center" wrapText="1"/>
    </xf>
    <xf numFmtId="0" fontId="27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left" vertical="center" wrapText="1"/>
    </xf>
    <xf numFmtId="0" fontId="25" fillId="15" borderId="4" applyAlignment="1" pivotButton="0" quotePrefix="0" xfId="0">
      <alignment horizontal="center" vertical="center" wrapText="1"/>
    </xf>
    <xf numFmtId="0" fontId="25" fillId="15" borderId="4" applyAlignment="1" pivotButton="0" quotePrefix="0" xfId="0">
      <alignment horizontal="left" vertical="center" wrapText="1"/>
    </xf>
    <xf numFmtId="0" fontId="5" fillId="21" borderId="4" applyAlignment="1" pivotButton="0" quotePrefix="0" xfId="0">
      <alignment horizontal="center" vertical="center" wrapText="1"/>
    </xf>
    <xf numFmtId="0" fontId="6" fillId="25" borderId="4" applyAlignment="1" pivotButton="0" quotePrefix="0" xfId="0">
      <alignment horizontal="center" vertical="center" wrapText="1"/>
    </xf>
    <xf numFmtId="0" fontId="7" fillId="26" borderId="4" applyAlignment="1" pivotButton="0" quotePrefix="0" xfId="0">
      <alignment horizontal="center" vertical="center" wrapText="1"/>
    </xf>
    <xf numFmtId="0" fontId="28" fillId="13" borderId="0" applyAlignment="1" pivotButton="0" quotePrefix="0" xfId="0">
      <alignment horizontal="left" vertical="center" indent="1"/>
    </xf>
    <xf numFmtId="0" fontId="29" fillId="15" borderId="4" applyAlignment="1" pivotButton="0" quotePrefix="0" xfId="0">
      <alignment horizontal="center" vertical="center" wrapText="1"/>
    </xf>
    <xf numFmtId="0" fontId="13" fillId="15" borderId="4" applyAlignment="1" pivotButton="0" quotePrefix="0" xfId="0">
      <alignment horizontal="left" vertical="center" wrapText="1"/>
    </xf>
    <xf numFmtId="0" fontId="16" fillId="14" borderId="4" applyAlignment="1" pivotButton="0" quotePrefix="0" xfId="0">
      <alignment horizontal="center" vertical="center" wrapText="1"/>
    </xf>
    <xf numFmtId="0" fontId="29" fillId="20" borderId="4" applyAlignment="1" pivotButton="0" quotePrefix="0" xfId="0">
      <alignment horizontal="center" vertical="center" wrapText="1"/>
    </xf>
    <xf numFmtId="0" fontId="13" fillId="20" borderId="4" applyAlignment="1" pivotButton="0" quotePrefix="0" xfId="0">
      <alignment horizontal="left" vertical="center" wrapText="1"/>
    </xf>
    <xf numFmtId="0" fontId="29" fillId="15" borderId="4" applyAlignment="1" pivotButton="0" quotePrefix="0" xfId="0">
      <alignment horizontal="center" vertical="center"/>
    </xf>
    <xf numFmtId="0" fontId="29" fillId="2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25" customWidth="1" min="4" max="4"/>
    <col width="22" customWidth="1" min="5" max="5"/>
    <col width="11" customWidth="1" min="6" max="6"/>
    <col width="11" customWidth="1" min="7" max="7"/>
    <col width="6" customWidth="1" min="8" max="8"/>
    <col width="15" customWidth="1" min="9" max="9"/>
    <col width="10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9.800000000000001" customWidth="1" min="19" max="19"/>
    <col width="9.800000000000001" customWidth="1" min="20" max="20"/>
    <col width="9.800000000000001" customWidth="1" min="21" max="21"/>
    <col width="9.800000000000001" customWidth="1" min="22" max="22"/>
    <col width="9.800000000000001" customWidth="1" min="23" max="23"/>
    <col width="9.800000000000001" customWidth="1" min="24" max="24"/>
    <col width="9.800000000000001" customWidth="1" min="25" max="25"/>
    <col width="9.800000000000001" customWidth="1" min="26" max="26"/>
    <col width="9.800000000000001" customWidth="1" min="27" max="27"/>
  </cols>
  <sheetData>
    <row r="1" ht="28" customHeight="1">
      <c r="A1" s="1" t="inlineStr">
        <is>
          <t>PROYECTO ATLAS - SISTEMA DE GESTIÓN Y DESPACHO DE SERVICIOS EN TERRENO (ENTEL B2B)</t>
        </is>
      </c>
    </row>
    <row r="2" ht="20" customHeight="1">
      <c r="A2" s="2" t="inlineStr">
        <is>
          <t>PLANIFICACIÓN OPERATIVA Y METODOLOGÍA KANBAN | CARTA GANTT SEMANAL (10/AGOSTO/2026 - 30/NOVIEMBRE/2026)</t>
        </is>
      </c>
    </row>
    <row r="3" ht="18" customHeight="1">
      <c r="A3" s="3" t="inlineStr">
        <is>
          <t>Duoc UC - Escuela de Informática y Telecomunicaciones | Proyecto Capstone APT122 | Docente Guía: Claudia Silva | Patrocinador: Entel B2B</t>
        </is>
      </c>
    </row>
    <row r="4" ht="18" customHeight="1">
      <c r="A4" s="4" t="inlineStr">
        <is>
          <t>Equipo de Proyecto: Alexander Sáez (FullStack &amp; DBA Lead) | Diego Jiménez (Frontend &amp; QA Lead) | Jorge Morales (Scrum Master &amp; DevOps) | Matías Tapia (Backend &amp; Cloud)</t>
        </is>
      </c>
    </row>
    <row r="5" ht="20" customHeight="1">
      <c r="A5" s="5" t="inlineStr">
        <is>
          <t>📅 Inicio: 10-Ago-2026</t>
        </is>
      </c>
      <c r="B5" s="6" t="n"/>
      <c r="C5" s="6" t="n"/>
      <c r="D5" s="7" t="inlineStr">
        <is>
          <t>⏱ Fecha Corte: 22-Oct-2026 (Semana 11 - 90%)</t>
        </is>
      </c>
      <c r="E5" s="6" t="n"/>
      <c r="F5" s="6" t="n"/>
      <c r="G5" s="8" t="inlineStr">
        <is>
          <t>★ Hito 1 (Profesora): 16-Nov-2026</t>
        </is>
      </c>
      <c r="H5" s="6" t="n"/>
      <c r="I5" s="6" t="n"/>
      <c r="J5" s="9" t="inlineStr">
        <is>
          <t>🏆 Hito 2 (Comisión Final): 30-Nov-2026</t>
        </is>
      </c>
      <c r="K5" s="6" t="n"/>
      <c r="L5" s="6" t="n"/>
      <c r="M5" s="6" t="n"/>
      <c r="N5" s="10" t="inlineStr">
        <is>
          <t>Leyenda: [■ Azul] Completado (100%) | [■ Naranja] En Curso (S11) | [■ Celeste] Planificado | [★ Rojo] Hito Docente | [🏆 Morado] Comisión</t>
        </is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20" customHeight="1">
      <c r="A6" s="11" t="inlineStr">
        <is>
          <t>ID</t>
        </is>
      </c>
      <c r="B6" s="11" t="inlineStr">
        <is>
          <t>Fase / Macro-Etapa</t>
        </is>
      </c>
      <c r="C6" s="11" t="inlineStr">
        <is>
          <t>Actividad / Entregable Específico</t>
        </is>
      </c>
      <c r="D6" s="11" t="inlineStr">
        <is>
          <t>Metodología / Práctica Ágil</t>
        </is>
      </c>
      <c r="E6" s="11" t="inlineStr">
        <is>
          <t>Responsable</t>
        </is>
      </c>
      <c r="F6" s="11" t="inlineStr">
        <is>
          <t>Inicio</t>
        </is>
      </c>
      <c r="G6" s="11" t="inlineStr">
        <is>
          <t>Fin</t>
        </is>
      </c>
      <c r="H6" s="11" t="inlineStr">
        <is>
          <t>Días</t>
        </is>
      </c>
      <c r="I6" s="11" t="inlineStr">
        <is>
          <t>Estado</t>
        </is>
      </c>
      <c r="J6" s="11" t="inlineStr">
        <is>
          <t>% Avance</t>
        </is>
      </c>
      <c r="K6" s="11" t="inlineStr">
        <is>
          <t>S01</t>
        </is>
      </c>
      <c r="L6" s="11" t="inlineStr">
        <is>
          <t>S02</t>
        </is>
      </c>
      <c r="M6" s="11" t="inlineStr">
        <is>
          <t>S03</t>
        </is>
      </c>
      <c r="N6" s="11" t="inlineStr">
        <is>
          <t>S04</t>
        </is>
      </c>
      <c r="O6" s="11" t="inlineStr">
        <is>
          <t>S05</t>
        </is>
      </c>
      <c r="P6" s="11" t="inlineStr">
        <is>
          <t>S06</t>
        </is>
      </c>
      <c r="Q6" s="11" t="inlineStr">
        <is>
          <t>S07</t>
        </is>
      </c>
      <c r="R6" s="11" t="inlineStr">
        <is>
          <t>S08</t>
        </is>
      </c>
      <c r="S6" s="11" t="inlineStr">
        <is>
          <t>S09</t>
        </is>
      </c>
      <c r="T6" s="11" t="inlineStr">
        <is>
          <t>S10</t>
        </is>
      </c>
      <c r="U6" s="12" t="inlineStr">
        <is>
          <t>S11*</t>
        </is>
      </c>
      <c r="V6" s="11" t="inlineStr">
        <is>
          <t>S12</t>
        </is>
      </c>
      <c r="W6" s="11" t="inlineStr">
        <is>
          <t>S13</t>
        </is>
      </c>
      <c r="X6" s="11" t="inlineStr">
        <is>
          <t>S14</t>
        </is>
      </c>
      <c r="Y6" s="13" t="inlineStr">
        <is>
          <t>S15★</t>
        </is>
      </c>
      <c r="Z6" s="11" t="inlineStr">
        <is>
          <t>S16</t>
        </is>
      </c>
      <c r="AA6" s="14" t="inlineStr">
        <is>
          <t>S17🏆</t>
        </is>
      </c>
    </row>
    <row r="7" ht="18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inlineStr">
        <is>
          <t>10/08 - 16/08</t>
        </is>
      </c>
      <c r="L7" s="15" t="inlineStr">
        <is>
          <t>17/08 - 23/08</t>
        </is>
      </c>
      <c r="M7" s="15" t="inlineStr">
        <is>
          <t>24/08 - 30/08</t>
        </is>
      </c>
      <c r="N7" s="15" t="inlineStr">
        <is>
          <t>31/08 - 06/09</t>
        </is>
      </c>
      <c r="O7" s="15" t="inlineStr">
        <is>
          <t>07/09 - 13/09</t>
        </is>
      </c>
      <c r="P7" s="15" t="inlineStr">
        <is>
          <t>14/09 - 20/09</t>
        </is>
      </c>
      <c r="Q7" s="15" t="inlineStr">
        <is>
          <t>21/09 - 27/09</t>
        </is>
      </c>
      <c r="R7" s="15" t="inlineStr">
        <is>
          <t>28/09 - 04/10</t>
        </is>
      </c>
      <c r="S7" s="15" t="inlineStr">
        <is>
          <t>05/10 - 11/10</t>
        </is>
      </c>
      <c r="T7" s="15" t="inlineStr">
        <is>
          <t>12/10 - 18/10</t>
        </is>
      </c>
      <c r="U7" s="16" t="inlineStr">
        <is>
          <t>19/10 - 25/10</t>
        </is>
      </c>
      <c r="V7" s="15" t="inlineStr">
        <is>
          <t>26/10 - 01/11</t>
        </is>
      </c>
      <c r="W7" s="15" t="inlineStr">
        <is>
          <t>02/11 - 08/11</t>
        </is>
      </c>
      <c r="X7" s="15" t="inlineStr">
        <is>
          <t>09/11 - 15/11</t>
        </is>
      </c>
      <c r="Y7" s="17" t="inlineStr">
        <is>
          <t>16/11 - 22/11</t>
        </is>
      </c>
      <c r="Z7" s="15" t="inlineStr">
        <is>
          <t>23/11 - 29/11</t>
        </is>
      </c>
      <c r="AA7" s="18" t="inlineStr">
        <is>
          <t>30/11 - 30/11</t>
        </is>
      </c>
    </row>
    <row r="8" ht="22" customHeight="1">
      <c r="A8" s="19" t="inlineStr">
        <is>
          <t>FASE 1: DIAGNÓSTICO OPERACIONAL, ALCANCE Y METODOLOGÍA KANBAN (S01 - S03)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</row>
    <row r="9" ht="19" customHeight="1">
      <c r="A9" s="21" t="inlineStr">
        <is>
          <t>ACT-01</t>
        </is>
      </c>
      <c r="B9" s="22" t="inlineStr">
        <is>
          <t>Fase 1: Diagnóstico</t>
        </is>
      </c>
      <c r="C9" s="23" t="inlineStr">
        <is>
          <t>Kickoff del proyecto y análisis de problemática operacional en terreno Entel B2B</t>
        </is>
      </c>
      <c r="D9" s="24" t="inlineStr">
        <is>
          <t>Alineación de Alcance &amp; Kickoff</t>
        </is>
      </c>
      <c r="E9" s="22" t="inlineStr">
        <is>
          <t>Alexander Sáez / Equipo</t>
        </is>
      </c>
      <c r="F9" s="25" t="inlineStr">
        <is>
          <t>10/08/2026</t>
        </is>
      </c>
      <c r="G9" s="25" t="inlineStr">
        <is>
          <t>14/08/2026</t>
        </is>
      </c>
      <c r="H9" s="26" t="n">
        <v>5</v>
      </c>
      <c r="I9" s="27" t="inlineStr">
        <is>
          <t>COMPLETADO</t>
        </is>
      </c>
      <c r="J9" s="28" t="n">
        <v>1</v>
      </c>
      <c r="K9" s="29" t="inlineStr">
        <is>
          <t>✔ 100%</t>
        </is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1" t="n"/>
      <c r="V9" s="30" t="n"/>
      <c r="W9" s="30" t="n"/>
      <c r="X9" s="30" t="n"/>
      <c r="Y9" s="32" t="n"/>
      <c r="Z9" s="30" t="n"/>
      <c r="AA9" s="33" t="n"/>
    </row>
    <row r="10" ht="19" customHeight="1">
      <c r="A10" s="34" t="inlineStr">
        <is>
          <t>ACT-02</t>
        </is>
      </c>
      <c r="B10" s="35" t="inlineStr">
        <is>
          <t>Fase 1: Metodología</t>
        </is>
      </c>
      <c r="C10" s="36" t="inlineStr">
        <is>
          <t>Definición metodológica: Adopción de Kanban puro, límites WIP y métricas de flujo</t>
        </is>
      </c>
      <c r="D10" s="37" t="inlineStr">
        <is>
          <t>Políticas WIP &amp; Walk the Board</t>
        </is>
      </c>
      <c r="E10" s="35" t="inlineStr">
        <is>
          <t>Jorge Morales / Scrum Master</t>
        </is>
      </c>
      <c r="F10" s="38" t="inlineStr">
        <is>
          <t>17/08/2026</t>
        </is>
      </c>
      <c r="G10" s="38" t="inlineStr">
        <is>
          <t>21/08/2026</t>
        </is>
      </c>
      <c r="H10" s="39" t="n">
        <v>5</v>
      </c>
      <c r="I10" s="27" t="inlineStr">
        <is>
          <t>COMPLETADO</t>
        </is>
      </c>
      <c r="J10" s="40" t="n">
        <v>1</v>
      </c>
      <c r="K10" s="41" t="n"/>
      <c r="L10" s="29" t="inlineStr">
        <is>
          <t>✔ 100%</t>
        </is>
      </c>
      <c r="M10" s="41" t="n"/>
      <c r="N10" s="41" t="n"/>
      <c r="O10" s="41" t="n"/>
      <c r="P10" s="41" t="n"/>
      <c r="Q10" s="41" t="n"/>
      <c r="R10" s="41" t="n"/>
      <c r="S10" s="41" t="n"/>
      <c r="T10" s="41" t="n"/>
      <c r="U10" s="31" t="n"/>
      <c r="V10" s="41" t="n"/>
      <c r="W10" s="41" t="n"/>
      <c r="X10" s="41" t="n"/>
      <c r="Y10" s="32" t="n"/>
      <c r="Z10" s="41" t="n"/>
      <c r="AA10" s="33" t="n"/>
    </row>
    <row r="11" ht="19" customHeight="1">
      <c r="A11" s="21" t="inlineStr">
        <is>
          <t>ACT-03</t>
        </is>
      </c>
      <c r="B11" s="22" t="inlineStr">
        <is>
          <t>Fase 1: Procesos FSM</t>
        </is>
      </c>
      <c r="C11" s="23" t="inlineStr">
        <is>
          <t>Levantamiento de requerimientos funcionales, RNFs y modelado formal de estados FSM</t>
        </is>
      </c>
      <c r="D11" s="24" t="inlineStr">
        <is>
          <t>Modelado FSM &amp; Matriz RNF</t>
        </is>
      </c>
      <c r="E11" s="22" t="inlineStr">
        <is>
          <t>Diego Jiménez / Alexander Sáez</t>
        </is>
      </c>
      <c r="F11" s="25" t="inlineStr">
        <is>
          <t>24/08/2026</t>
        </is>
      </c>
      <c r="G11" s="25" t="inlineStr">
        <is>
          <t>28/08/2026</t>
        </is>
      </c>
      <c r="H11" s="26" t="n">
        <v>5</v>
      </c>
      <c r="I11" s="27" t="inlineStr">
        <is>
          <t>COMPLETADO</t>
        </is>
      </c>
      <c r="J11" s="28" t="n">
        <v>1</v>
      </c>
      <c r="K11" s="30" t="n"/>
      <c r="L11" s="30" t="n"/>
      <c r="M11" s="29" t="inlineStr">
        <is>
          <t>✔ 100%</t>
        </is>
      </c>
      <c r="N11" s="30" t="n"/>
      <c r="O11" s="30" t="n"/>
      <c r="P11" s="30" t="n"/>
      <c r="Q11" s="30" t="n"/>
      <c r="R11" s="30" t="n"/>
      <c r="S11" s="30" t="n"/>
      <c r="T11" s="30" t="n"/>
      <c r="U11" s="31" t="n"/>
      <c r="V11" s="30" t="n"/>
      <c r="W11" s="30" t="n"/>
      <c r="X11" s="30" t="n"/>
      <c r="Y11" s="32" t="n"/>
      <c r="Z11" s="30" t="n"/>
      <c r="AA11" s="33" t="n"/>
    </row>
    <row r="12" ht="22" customHeight="1">
      <c r="A12" s="19" t="inlineStr">
        <is>
          <t>FASE 2: ARQUITECTURA CLOUD, MODELADO RELACIONAL Y PROTOTIPADO (S04 - S07)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</row>
    <row r="13" ht="19" customHeight="1">
      <c r="A13" s="21" t="inlineStr">
        <is>
          <t>ACT-04</t>
        </is>
      </c>
      <c r="B13" s="22" t="inlineStr">
        <is>
          <t>Fase 2: UI Prototipado</t>
        </is>
      </c>
      <c r="C13" s="23" t="inlineStr">
        <is>
          <t>Diseño de experiencia UI/UX: Prototipado Dispatch Board y Portal Cliente Magic Links</t>
        </is>
      </c>
      <c r="D13" s="24" t="inlineStr">
        <is>
          <t>Prototipado UI/UX &amp; Tailwind</t>
        </is>
      </c>
      <c r="E13" s="22" t="inlineStr">
        <is>
          <t>Diego Jiménez / Frontend</t>
        </is>
      </c>
      <c r="F13" s="25" t="inlineStr">
        <is>
          <t>31/08/2026</t>
        </is>
      </c>
      <c r="G13" s="25" t="inlineStr">
        <is>
          <t>04/09/2026</t>
        </is>
      </c>
      <c r="H13" s="26" t="n">
        <v>5</v>
      </c>
      <c r="I13" s="27" t="inlineStr">
        <is>
          <t>COMPLETADO</t>
        </is>
      </c>
      <c r="J13" s="28" t="n">
        <v>1</v>
      </c>
      <c r="K13" s="30" t="n"/>
      <c r="L13" s="30" t="n"/>
      <c r="M13" s="30" t="n"/>
      <c r="N13" s="29" t="inlineStr">
        <is>
          <t>✔ 100%</t>
        </is>
      </c>
      <c r="O13" s="30" t="n"/>
      <c r="P13" s="30" t="n"/>
      <c r="Q13" s="30" t="n"/>
      <c r="R13" s="30" t="n"/>
      <c r="S13" s="30" t="n"/>
      <c r="T13" s="30" t="n"/>
      <c r="U13" s="31" t="n"/>
      <c r="V13" s="30" t="n"/>
      <c r="W13" s="30" t="n"/>
      <c r="X13" s="30" t="n"/>
      <c r="Y13" s="32" t="n"/>
      <c r="Z13" s="30" t="n"/>
      <c r="AA13" s="33" t="n"/>
    </row>
    <row r="14" ht="19" customHeight="1">
      <c r="A14" s="34" t="inlineStr">
        <is>
          <t>ACT-05</t>
        </is>
      </c>
      <c r="B14" s="35" t="inlineStr">
        <is>
          <t>Fase 2: Persistencia</t>
        </is>
      </c>
      <c r="C14" s="36" t="inlineStr">
        <is>
          <t>Modelado DER en 3FN, esquema PostgreSQL en Neon Serverless y dataset semilla (seed.sql)</t>
        </is>
      </c>
      <c r="D14" s="37" t="inlineStr">
        <is>
          <t>Modelado Relacional 3FN / UUIDv4</t>
        </is>
      </c>
      <c r="E14" s="35" t="inlineStr">
        <is>
          <t>Alexander Sáez / DBA Lead</t>
        </is>
      </c>
      <c r="F14" s="38" t="inlineStr">
        <is>
          <t>07/09/2026</t>
        </is>
      </c>
      <c r="G14" s="38" t="inlineStr">
        <is>
          <t>11/09/2026</t>
        </is>
      </c>
      <c r="H14" s="39" t="n">
        <v>5</v>
      </c>
      <c r="I14" s="27" t="inlineStr">
        <is>
          <t>COMPLETADO</t>
        </is>
      </c>
      <c r="J14" s="40" t="n">
        <v>1</v>
      </c>
      <c r="K14" s="41" t="n"/>
      <c r="L14" s="41" t="n"/>
      <c r="M14" s="41" t="n"/>
      <c r="N14" s="41" t="n"/>
      <c r="O14" s="29" t="inlineStr">
        <is>
          <t>✔ 100%</t>
        </is>
      </c>
      <c r="P14" s="41" t="n"/>
      <c r="Q14" s="41" t="n"/>
      <c r="R14" s="41" t="n"/>
      <c r="S14" s="41" t="n"/>
      <c r="T14" s="41" t="n"/>
      <c r="U14" s="31" t="n"/>
      <c r="V14" s="41" t="n"/>
      <c r="W14" s="41" t="n"/>
      <c r="X14" s="41" t="n"/>
      <c r="Y14" s="32" t="n"/>
      <c r="Z14" s="41" t="n"/>
      <c r="AA14" s="33" t="n"/>
    </row>
    <row r="15" ht="19" customHeight="1">
      <c r="A15" s="21" t="inlineStr">
        <is>
          <t>ACT-06</t>
        </is>
      </c>
      <c r="B15" s="22" t="inlineStr">
        <is>
          <t>Fase 2: CI/CD Cloud</t>
        </is>
      </c>
      <c r="C15" s="23" t="inlineStr">
        <is>
          <t>Automatización de CI/CD en GitHub Actions: Pipelines database-dev.yml y database-prod.yml</t>
        </is>
      </c>
      <c r="D15" s="24" t="inlineStr">
        <is>
          <t>DevOps &amp; Branching Strategy</t>
        </is>
      </c>
      <c r="E15" s="22" t="inlineStr">
        <is>
          <t>Alexander Sáez / DevOps</t>
        </is>
      </c>
      <c r="F15" s="25" t="inlineStr">
        <is>
          <t>14/09/2026</t>
        </is>
      </c>
      <c r="G15" s="25" t="inlineStr">
        <is>
          <t>18/09/2026</t>
        </is>
      </c>
      <c r="H15" s="26" t="n">
        <v>5</v>
      </c>
      <c r="I15" s="27" t="inlineStr">
        <is>
          <t>COMPLETADO</t>
        </is>
      </c>
      <c r="J15" s="28" t="n">
        <v>1</v>
      </c>
      <c r="K15" s="30" t="n"/>
      <c r="L15" s="30" t="n"/>
      <c r="M15" s="30" t="n"/>
      <c r="N15" s="30" t="n"/>
      <c r="O15" s="30" t="n"/>
      <c r="P15" s="29" t="inlineStr">
        <is>
          <t>✔ 100%</t>
        </is>
      </c>
      <c r="Q15" s="30" t="n"/>
      <c r="R15" s="30" t="n"/>
      <c r="S15" s="30" t="n"/>
      <c r="T15" s="30" t="n"/>
      <c r="U15" s="31" t="n"/>
      <c r="V15" s="30" t="n"/>
      <c r="W15" s="30" t="n"/>
      <c r="X15" s="30" t="n"/>
      <c r="Y15" s="32" t="n"/>
      <c r="Z15" s="30" t="n"/>
      <c r="AA15" s="33" t="n"/>
    </row>
    <row r="16" ht="19" customHeight="1">
      <c r="A16" s="34" t="inlineStr">
        <is>
          <t>ACT-07</t>
        </is>
      </c>
      <c r="B16" s="35" t="inlineStr">
        <is>
          <t>Fase 2: Consolidación</t>
        </is>
      </c>
      <c r="C16" s="36" t="inlineStr">
        <is>
          <t>Receso Fiestas Patrias: Consolidación documental de arquitectura y diseño en Markdown</t>
        </is>
      </c>
      <c r="D16" s="37" t="inlineStr">
        <is>
          <t>Revisión Asíncrona &amp; Docs</t>
        </is>
      </c>
      <c r="E16" s="35" t="inlineStr">
        <is>
          <t>Equipo Atlas</t>
        </is>
      </c>
      <c r="F16" s="38" t="inlineStr">
        <is>
          <t>21/09/2026</t>
        </is>
      </c>
      <c r="G16" s="38" t="inlineStr">
        <is>
          <t>25/09/2026</t>
        </is>
      </c>
      <c r="H16" s="39" t="n">
        <v>5</v>
      </c>
      <c r="I16" s="27" t="inlineStr">
        <is>
          <t>COMPLETADO</t>
        </is>
      </c>
      <c r="J16" s="40" t="n">
        <v>1</v>
      </c>
      <c r="K16" s="41" t="n"/>
      <c r="L16" s="41" t="n"/>
      <c r="M16" s="41" t="n"/>
      <c r="N16" s="41" t="n"/>
      <c r="O16" s="41" t="n"/>
      <c r="P16" s="41" t="n"/>
      <c r="Q16" s="29" t="inlineStr">
        <is>
          <t>✔ 100%</t>
        </is>
      </c>
      <c r="R16" s="41" t="n"/>
      <c r="S16" s="41" t="n"/>
      <c r="T16" s="41" t="n"/>
      <c r="U16" s="31" t="n"/>
      <c r="V16" s="41" t="n"/>
      <c r="W16" s="41" t="n"/>
      <c r="X16" s="41" t="n"/>
      <c r="Y16" s="32" t="n"/>
      <c r="Z16" s="41" t="n"/>
      <c r="AA16" s="33" t="n"/>
    </row>
    <row r="17" ht="22" customHeight="1">
      <c r="A17" s="19" t="inlineStr">
        <is>
          <t>FASE 3: DESARROLLO CORE FRONTEND &amp; BACKEND API (S08 - S11)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</row>
    <row r="18" ht="19" customHeight="1">
      <c r="A18" s="21" t="inlineStr">
        <is>
          <t>ACT-08</t>
        </is>
      </c>
      <c r="B18" s="22" t="inlineStr">
        <is>
          <t>Fase 3: Dispatcher UI</t>
        </is>
      </c>
      <c r="C18" s="23" t="inlineStr">
        <is>
          <t>Construcción de la vista Dispatcher: Filtros por cuadrante, buscador en vivo y sincronización</t>
        </is>
      </c>
      <c r="D18" s="24" t="inlineStr">
        <is>
          <t>Componentes React &amp; Custom Hooks</t>
        </is>
      </c>
      <c r="E18" s="22" t="inlineStr">
        <is>
          <t>Diego Jiménez / Alexander Sáez</t>
        </is>
      </c>
      <c r="F18" s="25" t="inlineStr">
        <is>
          <t>28/09/2026</t>
        </is>
      </c>
      <c r="G18" s="25" t="inlineStr">
        <is>
          <t>02/10/2026</t>
        </is>
      </c>
      <c r="H18" s="26" t="n">
        <v>5</v>
      </c>
      <c r="I18" s="27" t="inlineStr">
        <is>
          <t>COMPLETADO</t>
        </is>
      </c>
      <c r="J18" s="28" t="n">
        <v>1</v>
      </c>
      <c r="K18" s="30" t="n"/>
      <c r="L18" s="30" t="n"/>
      <c r="M18" s="30" t="n"/>
      <c r="N18" s="30" t="n"/>
      <c r="O18" s="30" t="n"/>
      <c r="P18" s="30" t="n"/>
      <c r="Q18" s="30" t="n"/>
      <c r="R18" s="29" t="inlineStr">
        <is>
          <t>✔ 100%</t>
        </is>
      </c>
      <c r="S18" s="30" t="n"/>
      <c r="T18" s="30" t="n"/>
      <c r="U18" s="31" t="n"/>
      <c r="V18" s="30" t="n"/>
      <c r="W18" s="30" t="n"/>
      <c r="X18" s="30" t="n"/>
      <c r="Y18" s="32" t="n"/>
      <c r="Z18" s="30" t="n"/>
      <c r="AA18" s="33" t="n"/>
    </row>
    <row r="19" ht="19" customHeight="1">
      <c r="A19" s="34" t="inlineStr">
        <is>
          <t>ACT-09</t>
        </is>
      </c>
      <c r="B19" s="35" t="inlineStr">
        <is>
          <t>Fase 3: Design System</t>
        </is>
      </c>
      <c r="C19" s="36" t="inlineStr">
        <is>
          <t>Sistema de diseño corporativo: Modo Claro/Oscuro, modal de perfil y optimización de contraste</t>
        </is>
      </c>
      <c r="D19" s="37" t="inlineStr">
        <is>
          <t>Accesibilidad WCAG 2.1 &amp; CSS</t>
        </is>
      </c>
      <c r="E19" s="35" t="inlineStr">
        <is>
          <t>Diego Jiménez / Frontend</t>
        </is>
      </c>
      <c r="F19" s="38" t="inlineStr">
        <is>
          <t>05/10/2026</t>
        </is>
      </c>
      <c r="G19" s="38" t="inlineStr">
        <is>
          <t>09/10/2026</t>
        </is>
      </c>
      <c r="H19" s="39" t="n">
        <v>5</v>
      </c>
      <c r="I19" s="27" t="inlineStr">
        <is>
          <t>COMPLETADO</t>
        </is>
      </c>
      <c r="J19" s="40" t="n">
        <v>1</v>
      </c>
      <c r="K19" s="41" t="n"/>
      <c r="L19" s="41" t="n"/>
      <c r="M19" s="41" t="n"/>
      <c r="N19" s="41" t="n"/>
      <c r="O19" s="41" t="n"/>
      <c r="P19" s="41" t="n"/>
      <c r="Q19" s="41" t="n"/>
      <c r="R19" s="41" t="n"/>
      <c r="S19" s="29" t="inlineStr">
        <is>
          <t>✔ 100%</t>
        </is>
      </c>
      <c r="T19" s="41" t="n"/>
      <c r="U19" s="31" t="n"/>
      <c r="V19" s="41" t="n"/>
      <c r="W19" s="41" t="n"/>
      <c r="X19" s="41" t="n"/>
      <c r="Y19" s="32" t="n"/>
      <c r="Z19" s="41" t="n"/>
      <c r="AA19" s="33" t="n"/>
    </row>
    <row r="20" ht="19" customHeight="1">
      <c r="A20" s="21" t="inlineStr">
        <is>
          <t>ACT-10</t>
        </is>
      </c>
      <c r="B20" s="22" t="inlineStr">
        <is>
          <t>Fase 3: Backend Core</t>
        </is>
      </c>
      <c r="C20" s="23" t="inlineStr">
        <is>
          <t>Desarrollo Backend FastAPI: Modelos SQLAlchemy 2.0, autenticación JWT, RBAC y PgBouncer</t>
        </is>
      </c>
      <c r="D20" s="24" t="inlineStr">
        <is>
          <t>API RESTful &amp; ORM Mapping</t>
        </is>
      </c>
      <c r="E20" s="22" t="inlineStr">
        <is>
          <t>Alexander Sáez / Backend Lead</t>
        </is>
      </c>
      <c r="F20" s="25" t="inlineStr">
        <is>
          <t>12/10/2026</t>
        </is>
      </c>
      <c r="G20" s="25" t="inlineStr">
        <is>
          <t>16/10/2026</t>
        </is>
      </c>
      <c r="H20" s="26" t="n">
        <v>5</v>
      </c>
      <c r="I20" s="27" t="inlineStr">
        <is>
          <t>COMPLETADO</t>
        </is>
      </c>
      <c r="J20" s="28" t="n">
        <v>1</v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29" t="inlineStr">
        <is>
          <t>✔ 100%</t>
        </is>
      </c>
      <c r="U20" s="31" t="n"/>
      <c r="V20" s="30" t="n"/>
      <c r="W20" s="30" t="n"/>
      <c r="X20" s="30" t="n"/>
      <c r="Y20" s="32" t="n"/>
      <c r="Z20" s="30" t="n"/>
      <c r="AA20" s="33" t="n"/>
    </row>
    <row r="21" ht="19" customHeight="1">
      <c r="A21" s="34" t="inlineStr">
        <is>
          <t>ACT-11</t>
        </is>
      </c>
      <c r="B21" s="35" t="inlineStr">
        <is>
          <t>Fase 3: Integración</t>
        </is>
      </c>
      <c r="C21" s="36" t="inlineStr">
        <is>
          <t>Integración Live Data: Conexión frontend-backend-Neon DB 100% en vivo y conector SendGrid</t>
        </is>
      </c>
      <c r="D21" s="37" t="inlineStr">
        <is>
          <t>FullStack Integration &amp; Mock Purge</t>
        </is>
      </c>
      <c r="E21" s="35" t="inlineStr">
        <is>
          <t>Alexander Sáez / Diego Jiménez</t>
        </is>
      </c>
      <c r="F21" s="38" t="inlineStr">
        <is>
          <t>19/10/2026</t>
        </is>
      </c>
      <c r="G21" s="38" t="inlineStr">
        <is>
          <t>23/10/2026</t>
        </is>
      </c>
      <c r="H21" s="39" t="n">
        <v>5</v>
      </c>
      <c r="I21" s="42" t="inlineStr">
        <is>
          <t>EN CURSO</t>
        </is>
      </c>
      <c r="J21" s="40" t="n">
        <v>0.9</v>
      </c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3" t="inlineStr">
        <is>
          <t>► 90%</t>
        </is>
      </c>
      <c r="V21" s="41" t="n"/>
      <c r="W21" s="41" t="n"/>
      <c r="X21" s="41" t="n"/>
      <c r="Y21" s="32" t="n"/>
      <c r="Z21" s="41" t="n"/>
      <c r="AA21" s="33" t="n"/>
    </row>
    <row r="22" ht="22" customHeight="1">
      <c r="A22" s="19" t="inlineStr">
        <is>
          <t>FASE 4: PRUEBAS DE CALIDAD, PILOTO OPERATIVO Y PRE-ENTREGA DOCENTE (S12 - S15)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</row>
    <row r="23" ht="19" customHeight="1">
      <c r="A23" s="21" t="inlineStr">
        <is>
          <t>ACT-12</t>
        </is>
      </c>
      <c r="B23" s="22" t="inlineStr">
        <is>
          <t>Fase 4: QA &amp; Seguridad</t>
        </is>
      </c>
      <c r="C23" s="23" t="inlineStr">
        <is>
          <t>Pruebas de integración E2E, auditoría de seguridad en tokens Magic Links y estrés DB (&lt;50ms)</t>
        </is>
      </c>
      <c r="D23" s="24" t="inlineStr">
        <is>
          <t>Testing E2E &amp; Latency Benchmarks</t>
        </is>
      </c>
      <c r="E23" s="22" t="inlineStr">
        <is>
          <t>Alexander Sáez / QA Lead</t>
        </is>
      </c>
      <c r="F23" s="25" t="inlineStr">
        <is>
          <t>26/10/2026</t>
        </is>
      </c>
      <c r="G23" s="25" t="inlineStr">
        <is>
          <t>30/10/2026</t>
        </is>
      </c>
      <c r="H23" s="26" t="n">
        <v>5</v>
      </c>
      <c r="I23" s="44" t="inlineStr">
        <is>
          <t>PLANIFICADO</t>
        </is>
      </c>
      <c r="J23" s="28" t="n">
        <v>0</v>
      </c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1" t="n"/>
      <c r="V23" s="45" t="inlineStr">
        <is>
          <t>░ Plan</t>
        </is>
      </c>
      <c r="W23" s="30" t="n"/>
      <c r="X23" s="30" t="n"/>
      <c r="Y23" s="32" t="n"/>
      <c r="Z23" s="30" t="n"/>
      <c r="AA23" s="33" t="n"/>
    </row>
    <row r="24" ht="19" customHeight="1">
      <c r="A24" s="34" t="inlineStr">
        <is>
          <t>ACT-13</t>
        </is>
      </c>
      <c r="B24" s="35" t="inlineStr">
        <is>
          <t>Fase 4: Piloto Simulado</t>
        </is>
      </c>
      <c r="C24" s="36" t="inlineStr">
        <is>
          <t>Ejecución de piloto operativo simulado con órdenes de terreno reales y medición de KPIs</t>
        </is>
      </c>
      <c r="D24" s="37" t="inlineStr">
        <is>
          <t>Simulación Piloto &amp; KPIs SLA</t>
        </is>
      </c>
      <c r="E24" s="35" t="inlineStr">
        <is>
          <t>Equipo Atlas</t>
        </is>
      </c>
      <c r="F24" s="38" t="inlineStr">
        <is>
          <t>02/11/2026</t>
        </is>
      </c>
      <c r="G24" s="38" t="inlineStr">
        <is>
          <t>06/11/2026</t>
        </is>
      </c>
      <c r="H24" s="39" t="n">
        <v>5</v>
      </c>
      <c r="I24" s="44" t="inlineStr">
        <is>
          <t>PLANIFICADO</t>
        </is>
      </c>
      <c r="J24" s="40" t="n">
        <v>0</v>
      </c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31" t="n"/>
      <c r="V24" s="41" t="n"/>
      <c r="W24" s="45" t="inlineStr">
        <is>
          <t>░ Plan</t>
        </is>
      </c>
      <c r="X24" s="41" t="n"/>
      <c r="Y24" s="32" t="n"/>
      <c r="Z24" s="41" t="n"/>
      <c r="AA24" s="33" t="n"/>
    </row>
    <row r="25" ht="19" customHeight="1">
      <c r="A25" s="21" t="inlineStr">
        <is>
          <t>ACT-14</t>
        </is>
      </c>
      <c r="B25" s="22" t="inlineStr">
        <is>
          <t>Fase 4: Consolidación</t>
        </is>
      </c>
      <c r="C25" s="23" t="inlineStr">
        <is>
          <t>Consolidación de entregables Capstone, informes de ingeniería y preparación de diapositivas</t>
        </is>
      </c>
      <c r="D25" s="24" t="inlineStr">
        <is>
          <t>Documentación &amp; Storytelling</t>
        </is>
      </c>
      <c r="E25" s="22" t="inlineStr">
        <is>
          <t>Equipo Atlas</t>
        </is>
      </c>
      <c r="F25" s="25" t="inlineStr">
        <is>
          <t>09/11/2026</t>
        </is>
      </c>
      <c r="G25" s="25" t="inlineStr">
        <is>
          <t>13/11/2026</t>
        </is>
      </c>
      <c r="H25" s="26" t="n">
        <v>5</v>
      </c>
      <c r="I25" s="44" t="inlineStr">
        <is>
          <t>PLANIFICADO</t>
        </is>
      </c>
      <c r="J25" s="28" t="n">
        <v>0</v>
      </c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1" t="n"/>
      <c r="V25" s="30" t="n"/>
      <c r="W25" s="30" t="n"/>
      <c r="X25" s="45" t="inlineStr">
        <is>
          <t>░ Plan</t>
        </is>
      </c>
      <c r="Y25" s="32" t="n"/>
      <c r="Z25" s="30" t="n"/>
      <c r="AA25" s="33" t="n"/>
    </row>
    <row r="26" ht="19" customHeight="1">
      <c r="A26" s="46" t="inlineStr">
        <is>
          <t>HITO-01</t>
        </is>
      </c>
      <c r="B26" s="35" t="inlineStr">
        <is>
          <t>Hito Intermedio</t>
        </is>
      </c>
      <c r="C26" s="47" t="inlineStr">
        <is>
          <t>★ PRESENTACIÓN INTERMEDIA CON PROFESORA GUÍA: Revisión técnica y levantamiento de observaciones</t>
        </is>
      </c>
      <c r="D26" s="37" t="inlineStr">
        <is>
          <t>Revisión Docente Capstone</t>
        </is>
      </c>
      <c r="E26" s="35" t="inlineStr">
        <is>
          <t>Equipo Completo &amp; Claudia Silva</t>
        </is>
      </c>
      <c r="F26" s="38" t="inlineStr">
        <is>
          <t>16/11/2026</t>
        </is>
      </c>
      <c r="G26" s="38" t="inlineStr">
        <is>
          <t>16/11/2026</t>
        </is>
      </c>
      <c r="H26" s="39" t="n">
        <v>1</v>
      </c>
      <c r="I26" s="48" t="inlineStr">
        <is>
          <t>HITO CRÍTICO</t>
        </is>
      </c>
      <c r="J26" s="40" t="n">
        <v>0</v>
      </c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31" t="n"/>
      <c r="V26" s="41" t="n"/>
      <c r="W26" s="41" t="n"/>
      <c r="X26" s="41" t="n"/>
      <c r="Y26" s="49" t="inlineStr">
        <is>
          <t>★ HITO</t>
        </is>
      </c>
      <c r="Z26" s="41" t="n"/>
      <c r="AA26" s="33" t="n"/>
    </row>
    <row r="27" ht="19" customHeight="1">
      <c r="A27" s="21" t="inlineStr">
        <is>
          <t>ACT-15</t>
        </is>
      </c>
      <c r="B27" s="22" t="inlineStr">
        <is>
          <t>Fase 4: Minuta Feedback</t>
        </is>
      </c>
      <c r="C27" s="23" t="inlineStr">
        <is>
          <t>Registro formal de minuta de feedback docente y priorización de ajustes en tablero Kanban</t>
        </is>
      </c>
      <c r="D27" s="24" t="inlineStr">
        <is>
          <t>Gestión de Feedback &amp; Kaizen</t>
        </is>
      </c>
      <c r="E27" s="22" t="inlineStr">
        <is>
          <t>Jorge Morales / Scrum Master</t>
        </is>
      </c>
      <c r="F27" s="25" t="inlineStr">
        <is>
          <t>17/11/2026</t>
        </is>
      </c>
      <c r="G27" s="25" t="inlineStr">
        <is>
          <t>20/11/2026</t>
        </is>
      </c>
      <c r="H27" s="26" t="n">
        <v>4</v>
      </c>
      <c r="I27" s="44" t="inlineStr">
        <is>
          <t>PLANIFICADO</t>
        </is>
      </c>
      <c r="J27" s="28" t="n">
        <v>0</v>
      </c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1" t="n"/>
      <c r="V27" s="30" t="n"/>
      <c r="W27" s="30" t="n"/>
      <c r="X27" s="30" t="n"/>
      <c r="Y27" s="45" t="inlineStr">
        <is>
          <t>░ Plan</t>
        </is>
      </c>
      <c r="Z27" s="30" t="n"/>
      <c r="AA27" s="33" t="n"/>
    </row>
    <row r="28" ht="22" customHeight="1">
      <c r="A28" s="19" t="inlineStr">
        <is>
          <t>FASE 5: SUBSANACIÓN DE OBSERVACIONES, ENSAYOS Y DEFENSA FINAL (S16 - S17)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</row>
    <row r="29" ht="19" customHeight="1">
      <c r="A29" s="21" t="inlineStr">
        <is>
          <t>ACT-16</t>
        </is>
      </c>
      <c r="B29" s="22" t="inlineStr">
        <is>
          <t>Fase 5: Cierre &amp; Ajustes</t>
        </is>
      </c>
      <c r="C29" s="23" t="inlineStr">
        <is>
          <t>Resolución integral de observaciones recibidas de la profesora y congelamiento de código</t>
        </is>
      </c>
      <c r="D29" s="24" t="inlineStr">
        <is>
          <t>Code Freeze &amp; Polish Final</t>
        </is>
      </c>
      <c r="E29" s="22" t="inlineStr">
        <is>
          <t>Alexander Sáez / Diego Jiménez</t>
        </is>
      </c>
      <c r="F29" s="25" t="inlineStr">
        <is>
          <t>23/11/2026</t>
        </is>
      </c>
      <c r="G29" s="25" t="inlineStr">
        <is>
          <t>27/11/2026</t>
        </is>
      </c>
      <c r="H29" s="26" t="n">
        <v>5</v>
      </c>
      <c r="I29" s="44" t="inlineStr">
        <is>
          <t>PLANIFICADO</t>
        </is>
      </c>
      <c r="J29" s="28" t="n">
        <v>0</v>
      </c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1" t="n"/>
      <c r="V29" s="30" t="n"/>
      <c r="W29" s="30" t="n"/>
      <c r="X29" s="30" t="n"/>
      <c r="Y29" s="32" t="n"/>
      <c r="Z29" s="45" t="inlineStr">
        <is>
          <t>░ Plan</t>
        </is>
      </c>
      <c r="AA29" s="33" t="n"/>
    </row>
    <row r="30" ht="19" customHeight="1">
      <c r="A30" s="34" t="inlineStr">
        <is>
          <t>ACT-17</t>
        </is>
      </c>
      <c r="B30" s="35" t="inlineStr">
        <is>
          <t>Fase 5: Dry Run</t>
        </is>
      </c>
      <c r="C30" s="36" t="inlineStr">
        <is>
          <t>Ensayo general de defensa (Dry Run), respaldo de base de datos offline y pruebas de oratoria</t>
        </is>
      </c>
      <c r="D30" s="37" t="inlineStr">
        <is>
          <t>Dry Run &amp; Plan de Contingencia</t>
        </is>
      </c>
      <c r="E30" s="35" t="inlineStr">
        <is>
          <t>Equipo Atlas</t>
        </is>
      </c>
      <c r="F30" s="38" t="inlineStr">
        <is>
          <t>28/11/2026</t>
        </is>
      </c>
      <c r="G30" s="38" t="inlineStr">
        <is>
          <t>29/11/2026</t>
        </is>
      </c>
      <c r="H30" s="39" t="n">
        <v>2</v>
      </c>
      <c r="I30" s="44" t="inlineStr">
        <is>
          <t>PLANIFICADO</t>
        </is>
      </c>
      <c r="J30" s="40" t="n">
        <v>0</v>
      </c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31" t="n"/>
      <c r="V30" s="41" t="n"/>
      <c r="W30" s="41" t="n"/>
      <c r="X30" s="41" t="n"/>
      <c r="Y30" s="32" t="n"/>
      <c r="Z30" s="45" t="inlineStr">
        <is>
          <t>░ Plan</t>
        </is>
      </c>
      <c r="AA30" s="33" t="n"/>
    </row>
    <row r="31" ht="19" customHeight="1">
      <c r="A31" s="50" t="inlineStr">
        <is>
          <t>HITO-02</t>
        </is>
      </c>
      <c r="B31" s="22" t="inlineStr">
        <is>
          <t>Hito Final Titulación</t>
        </is>
      </c>
      <c r="C31" s="51" t="inlineStr">
        <is>
          <t>🏆 PRESENTACIÓN Y DEFENSA FINAL ANTE LA COMISIÓN EVALUADORA DE TÍTULO DUOC UC</t>
        </is>
      </c>
      <c r="D31" s="24" t="inlineStr">
        <is>
          <t>Defensa de Título Capstone</t>
        </is>
      </c>
      <c r="E31" s="22" t="inlineStr">
        <is>
          <t>Equipo Completo &amp; Comisión Duoc</t>
        </is>
      </c>
      <c r="F31" s="25" t="inlineStr">
        <is>
          <t>30/11/2026</t>
        </is>
      </c>
      <c r="G31" s="25" t="inlineStr">
        <is>
          <t>30/11/2026</t>
        </is>
      </c>
      <c r="H31" s="26" t="n">
        <v>1</v>
      </c>
      <c r="I31" s="52" t="inlineStr">
        <is>
          <t>HITO FINAL</t>
        </is>
      </c>
      <c r="J31" s="28" t="n">
        <v>0</v>
      </c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1" t="n"/>
      <c r="V31" s="30" t="n"/>
      <c r="W31" s="30" t="n"/>
      <c r="X31" s="30" t="n"/>
      <c r="Y31" s="32" t="n"/>
      <c r="Z31" s="30" t="n"/>
      <c r="AA31" s="53" t="inlineStr">
        <is>
          <t>🏆 FINAL</t>
        </is>
      </c>
    </row>
    <row r="32" ht="22" customHeight="1">
      <c r="A32" s="54" t="inlineStr">
        <is>
          <t>TOTALES / PROMEDIO GENERAL DE AVANCE DEL PROYECTO ATLAS</t>
        </is>
      </c>
      <c r="H32" s="55">
        <f>H9+H10+H11+H13+H14+H15+H16+H18+H19+H20+H21+H23+H24+H25+H26+H27+H29+H30+H31</f>
        <v/>
      </c>
      <c r="I32" s="55" t="inlineStr">
        <is>
          <t>82% GLOBAL</t>
        </is>
      </c>
      <c r="J32" s="56">
        <f>AVERAGE(J9,J10,J11,J13,J14,J15,J16,J18,J19,J20,J21,J23,J24,J25,J26,J27,J29,J30,J31)</f>
        <v/>
      </c>
      <c r="K32" s="57" t="inlineStr"/>
      <c r="L32" s="57" t="inlineStr"/>
      <c r="M32" s="57" t="inlineStr"/>
      <c r="N32" s="57" t="inlineStr"/>
      <c r="O32" s="57" t="inlineStr"/>
      <c r="P32" s="57" t="inlineStr"/>
      <c r="Q32" s="57" t="inlineStr"/>
      <c r="R32" s="57" t="inlineStr"/>
      <c r="S32" s="57" t="inlineStr"/>
      <c r="T32" s="57" t="inlineStr"/>
      <c r="U32" s="57" t="inlineStr"/>
      <c r="V32" s="57" t="inlineStr"/>
      <c r="W32" s="57" t="inlineStr"/>
      <c r="X32" s="57" t="inlineStr"/>
      <c r="Y32" s="57" t="inlineStr"/>
      <c r="Z32" s="57" t="inlineStr"/>
      <c r="AA32" s="57" t="inlineStr"/>
    </row>
  </sheetData>
  <mergeCells count="25">
    <mergeCell ref="A32:G32"/>
    <mergeCell ref="H6:H7"/>
    <mergeCell ref="J6:J7"/>
    <mergeCell ref="A6:A7"/>
    <mergeCell ref="A12:AA12"/>
    <mergeCell ref="A3:AA3"/>
    <mergeCell ref="A5:C5"/>
    <mergeCell ref="G5:I5"/>
    <mergeCell ref="A2:AA2"/>
    <mergeCell ref="G6:G7"/>
    <mergeCell ref="E6:E7"/>
    <mergeCell ref="J5:M5"/>
    <mergeCell ref="B6:B7"/>
    <mergeCell ref="A8:AA8"/>
    <mergeCell ref="N5:AA5"/>
    <mergeCell ref="A17:AA17"/>
    <mergeCell ref="A22:AA22"/>
    <mergeCell ref="A4:AA4"/>
    <mergeCell ref="D5:F5"/>
    <mergeCell ref="A28:AA28"/>
    <mergeCell ref="I6:I7"/>
    <mergeCell ref="C6:C7"/>
    <mergeCell ref="D6:D7"/>
    <mergeCell ref="A1:AA1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22" customWidth="1" min="4" max="4"/>
    <col width="42" customWidth="1" min="5" max="5"/>
    <col width="42" customWidth="1" min="6" max="6"/>
    <col width="16" customWidth="1" min="7" max="7"/>
  </cols>
  <sheetData>
    <row r="1" ht="26" customHeight="1">
      <c r="A1" s="58" t="inlineStr">
        <is>
          <t>PROYECTO ATLAS - MATRIZ DE HITOS CRÍTICOS Y CRITERIOS DE ACEPTACIÓN CAPSTONE</t>
        </is>
      </c>
    </row>
    <row r="2" ht="20" customHeight="1">
      <c r="A2" s="59" t="inlineStr">
        <is>
          <t>GOBERNANZA ACADÉMICA DUOC UC | HITOS SEMESTRALES, PRODUCTOS DE TRABAJO Y VALIDACIONES</t>
        </is>
      </c>
    </row>
    <row r="4" ht="24" customHeight="1">
      <c r="A4" s="60" t="inlineStr">
        <is>
          <t>ID Hito</t>
        </is>
      </c>
      <c r="B4" s="60" t="inlineStr">
        <is>
          <t>Nombre del Hito</t>
        </is>
      </c>
      <c r="C4" s="60" t="inlineStr">
        <is>
          <t>Fecha Límite</t>
        </is>
      </c>
      <c r="D4" s="60" t="inlineStr">
        <is>
          <t>Fase Asociada</t>
        </is>
      </c>
      <c r="E4" s="60" t="inlineStr">
        <is>
          <t>Entregables Técnicos Principales</t>
        </is>
      </c>
      <c r="F4" s="60" t="inlineStr">
        <is>
          <t>Criterios de Aceptación / Evaluación</t>
        </is>
      </c>
      <c r="G4" s="60" t="inlineStr">
        <is>
          <t>Estado de Cumplimiento</t>
        </is>
      </c>
    </row>
    <row r="5" ht="42" customHeight="1">
      <c r="A5" s="61" t="inlineStr">
        <is>
          <t>HITO-01</t>
        </is>
      </c>
      <c r="B5" s="62" t="inlineStr">
        <is>
          <t>Kickoff y Aprobación de Alcance</t>
        </is>
      </c>
      <c r="C5" s="63" t="inlineStr">
        <is>
          <t>14/08/2026</t>
        </is>
      </c>
      <c r="D5" s="64" t="inlineStr">
        <is>
          <t>Fase 1: Diagnóstico</t>
        </is>
      </c>
      <c r="E5" s="64" t="inlineStr">
        <is>
          <t>Matriz de Stakeholders, Ficha de Diagnóstico Operativo Entel B2B y Registro de Requerimientos Iniciales.</t>
        </is>
      </c>
      <c r="F5" s="64" t="inlineStr">
        <is>
          <t>Aprobación formal del alcance por docente guía y patrocinador; delimitación de órdenes FSM y portal cliente.</t>
        </is>
      </c>
      <c r="G5" s="65" t="inlineStr">
        <is>
          <t>COMPLETADO</t>
        </is>
      </c>
    </row>
    <row r="6" ht="42" customHeight="1">
      <c r="A6" s="66" t="inlineStr">
        <is>
          <t>HITO-02</t>
        </is>
      </c>
      <c r="B6" s="67" t="inlineStr">
        <is>
          <t>Modelado DER y Persistencia Cloud</t>
        </is>
      </c>
      <c r="C6" s="68" t="inlineStr">
        <is>
          <t>18/09/2026</t>
        </is>
      </c>
      <c r="D6" s="69" t="inlineStr">
        <is>
          <t>Fase 2: Arquitectura</t>
        </is>
      </c>
      <c r="E6" s="69" t="inlineStr">
        <is>
          <t>Diagrama DER en 3FN, esquema DDL PostgreSQL en Neon Serverless, dataset semilla (seed.sql) y pipelines CI/CD.</t>
        </is>
      </c>
      <c r="F6" s="69" t="inlineStr">
        <is>
          <t>10 tablas operativas en el motor, integridad referencial 100%, ejecución automática de tests en PRs hacia main.</t>
        </is>
      </c>
      <c r="G6" s="65" t="inlineStr">
        <is>
          <t>COMPLETADO</t>
        </is>
      </c>
    </row>
    <row r="7" ht="42" customHeight="1">
      <c r="A7" s="61" t="inlineStr">
        <is>
          <t>HITO-03</t>
        </is>
      </c>
      <c r="B7" s="62" t="inlineStr">
        <is>
          <t>Core FullStack Integrado en Vivo (MVP)</t>
        </is>
      </c>
      <c r="C7" s="63" t="inlineStr">
        <is>
          <t>23/10/2026</t>
        </is>
      </c>
      <c r="D7" s="64" t="inlineStr">
        <is>
          <t>Fase 3: Desarrollo Core</t>
        </is>
      </c>
      <c r="E7" s="64" t="inlineStr">
        <is>
          <t>Backend FastAPI, Frontend React PWA, integración directa con Neon DB sin mocks, conector SendGrid y login RBAC.</t>
        </is>
      </c>
      <c r="F7" s="64" t="inlineStr">
        <is>
          <t>Sincronización en tiempo real de tableros Kanban, generación de Magic Links funcionales y despacho operativo sin fallas.</t>
        </is>
      </c>
      <c r="G7" s="70" t="inlineStr">
        <is>
          <t>EN CURSO (90%)</t>
        </is>
      </c>
    </row>
    <row r="8" ht="42" customHeight="1">
      <c r="A8" s="66" t="inlineStr">
        <is>
          <t>HITO-04</t>
        </is>
      </c>
      <c r="B8" s="67" t="inlineStr">
        <is>
          <t>★ REVISIÓN Y CORRECCIÓN CON PROFESORA GUÍA</t>
        </is>
      </c>
      <c r="C8" s="68" t="inlineStr">
        <is>
          <t>16/11/2026</t>
        </is>
      </c>
      <c r="D8" s="69" t="inlineStr">
        <is>
          <t>Fase 4: Pre-entrega Docente</t>
        </is>
      </c>
      <c r="E8" s="69" t="inlineStr">
        <is>
          <t>Plataforma Atlas funcional en producción, informes consolidados de Fase 1 y 2, y presentación previa de defensa.</t>
        </is>
      </c>
      <c r="F8" s="69" t="inlineStr">
        <is>
          <t>Retroalimentación formal docente, evaluación de usabilidad, levantamiento de observaciones críticas y firma de pre-aprobación.</t>
        </is>
      </c>
      <c r="G8" s="71" t="inlineStr">
        <is>
          <t>HITO CRÍTICO</t>
        </is>
      </c>
    </row>
    <row r="9" ht="42" customHeight="1">
      <c r="A9" s="61" t="inlineStr">
        <is>
          <t>HITO-05</t>
        </is>
      </c>
      <c r="B9" s="62" t="inlineStr">
        <is>
          <t>🏆 DEFENSA FINAL ANTE COMISIÓN CAPSTONE</t>
        </is>
      </c>
      <c r="C9" s="63" t="inlineStr">
        <is>
          <t>30/11/2026</t>
        </is>
      </c>
      <c r="D9" s="64" t="inlineStr">
        <is>
          <t>Fase 5: Titulación Final</t>
        </is>
      </c>
      <c r="E9" s="64" t="inlineStr">
        <is>
          <t>Sistema Atlas en producción alta disponibilidad (Vercel/Render/Neon), informe final de titulación, demo en vivo y pitch.</t>
        </is>
      </c>
      <c r="F9" s="64" t="inlineStr">
        <is>
          <t>Aprobación unánime de la Comisión Evaluadora de Título Duoc UC, validación de cumplimiento de competencias y titulación.</t>
        </is>
      </c>
      <c r="G9" s="72" t="inlineStr">
        <is>
          <t>HITO FINAL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35" customWidth="1" min="4" max="4"/>
    <col width="35" customWidth="1" min="5" max="5"/>
    <col width="15" customWidth="1" min="6" max="6"/>
  </cols>
  <sheetData>
    <row r="1" ht="26" customHeight="1">
      <c r="A1" s="58" t="inlineStr">
        <is>
          <t>PROYECTO ATLAS - POLÍTICAS OPERACIONALES KANBAN Y MÉTRICAS DE FLUJO</t>
        </is>
      </c>
    </row>
    <row r="2" ht="20" customHeight="1">
      <c r="A2" s="59" t="inlineStr">
        <is>
          <t>GESTIÓN ÁGIL DE FLUJO CONTINUO | LÍMITES WIP, CODEFLOW Y CADENCIAS DE MEJORA CONTINUA (KAIZEN)</t>
        </is>
      </c>
    </row>
    <row r="4" ht="22" customHeight="1">
      <c r="A4" s="73" t="inlineStr">
        <is>
          <t>1. POLÍTICAS DE LÍMITES WIP (WORK IN PROGRESS) EN TABLERO KANBAN ATLAS</t>
        </is>
      </c>
    </row>
    <row r="5" ht="24" customHeight="1">
      <c r="A5" s="11" t="inlineStr">
        <is>
          <t>Columna Tablero</t>
        </is>
      </c>
      <c r="B5" s="11" t="inlineStr">
        <is>
          <t>Límite WIP</t>
        </is>
      </c>
      <c r="C5" s="11" t="inlineStr">
        <is>
          <t>Propósito Operacional / Justificación de Calidad</t>
        </is>
      </c>
      <c r="D5" s="11" t="inlineStr">
        <is>
          <t>Criterio de Entrada (Definition of Ready)</t>
        </is>
      </c>
      <c r="E5" s="11" t="inlineStr">
        <is>
          <t>Criterio de Salida (Definition of Done)</t>
        </is>
      </c>
      <c r="F5" s="11" t="inlineStr">
        <is>
          <t>Estado Actual</t>
        </is>
      </c>
    </row>
    <row r="6" ht="28" customHeight="1">
      <c r="A6" s="74" t="inlineStr">
        <is>
          <t>Backlog</t>
        </is>
      </c>
      <c r="B6" s="74" t="inlineStr">
        <is>
          <t>Ilimitado</t>
        </is>
      </c>
      <c r="C6" s="75" t="inlineStr">
        <is>
          <t>Repositorio centralizado de historias y requerimientos priorizados MoSCoW.</t>
        </is>
      </c>
      <c r="D6" s="75" t="inlineStr">
        <is>
          <t>Historia redactada con criterios de aceptación claros.</t>
        </is>
      </c>
      <c r="E6" s="75" t="inlineStr">
        <is>
          <t>Item priorizado y seleccionado para refinamiento.</t>
        </is>
      </c>
      <c r="F6" s="76" t="inlineStr">
        <is>
          <t>OPERATIVO</t>
        </is>
      </c>
    </row>
    <row r="7" ht="28" customHeight="1">
      <c r="A7" s="77" t="inlineStr">
        <is>
          <t>Análisis &amp; Diseño</t>
        </is>
      </c>
      <c r="B7" s="77" t="inlineStr">
        <is>
          <t>WIP = 3</t>
        </is>
      </c>
      <c r="C7" s="78" t="inlineStr">
        <is>
          <t>Evitar sobrecarga en especificación y prevenir cuellos de botella iniciales.</t>
        </is>
      </c>
      <c r="D7" s="78" t="inlineStr">
        <is>
          <t>Historia priorizada en Backlog.</t>
        </is>
      </c>
      <c r="E7" s="78" t="inlineStr">
        <is>
          <t>Especificación técnica, contrato API Pydantic y prototipo listos.</t>
        </is>
      </c>
      <c r="F7" s="76" t="inlineStr">
        <is>
          <t>OPERATIVO</t>
        </is>
      </c>
    </row>
    <row r="8" ht="28" customHeight="1">
      <c r="A8" s="74" t="inlineStr">
        <is>
          <t>Desarrollo (In Dev)</t>
        </is>
      </c>
      <c r="B8" s="74" t="inlineStr">
        <is>
          <t>WIP = 4</t>
        </is>
      </c>
      <c r="C8" s="75" t="inlineStr">
        <is>
          <t>Garantizar foco del equipo (máximo 1 tarea activa por desarrollador).</t>
        </is>
      </c>
      <c r="D8" s="75" t="inlineStr">
        <is>
          <t>Contrato API y DER aprobados, rama creada bajo CodeFlow.</t>
        </is>
      </c>
      <c r="E8" s="75" t="inlineStr">
        <is>
          <t>Código testeado localmente, sin linter errors, commit semántico.</t>
        </is>
      </c>
      <c r="F8" s="76" t="inlineStr">
        <is>
          <t>OPERATIVO</t>
        </is>
      </c>
    </row>
    <row r="9" ht="28" customHeight="1">
      <c r="A9" s="77" t="inlineStr">
        <is>
          <t>Code Review (PR)</t>
        </is>
      </c>
      <c r="B9" s="77" t="inlineStr">
        <is>
          <t>WIP = 2</t>
        </is>
      </c>
      <c r="C9" s="78" t="inlineStr">
        <is>
          <t>Revisión técnica cruzada obligatoria para asegurar estándares de calidad.</t>
        </is>
      </c>
      <c r="D9" s="78" t="inlineStr">
        <is>
          <t>Pull Request abierto hacia rama de integración con descripción.</t>
        </is>
      </c>
      <c r="E9" s="78" t="inlineStr">
        <is>
          <t>Aprobación de al menos un par y checks de CI/CD en verde.</t>
        </is>
      </c>
      <c r="F9" s="76" t="inlineStr">
        <is>
          <t>OPERATIVO</t>
        </is>
      </c>
    </row>
    <row r="10" ht="28" customHeight="1">
      <c r="A10" s="74" t="inlineStr">
        <is>
          <t>Testing &amp; QA</t>
        </is>
      </c>
      <c r="B10" s="74" t="inlineStr">
        <is>
          <t>WIP = 3</t>
        </is>
      </c>
      <c r="C10" s="75" t="inlineStr">
        <is>
          <t>Validación funcional en entorno de staging contra base Neon dev.</t>
        </is>
      </c>
      <c r="D10" s="75" t="inlineStr">
        <is>
          <t>PR fusionado a dev y desplegado automáticamente.</t>
        </is>
      </c>
      <c r="E10" s="75" t="inlineStr">
        <is>
          <t>Pruebas E2E y de regresión aprobadas sin defectos bloqueantes.</t>
        </is>
      </c>
      <c r="F10" s="76" t="inlineStr">
        <is>
          <t>OPERATIVO</t>
        </is>
      </c>
    </row>
    <row r="11" ht="28" customHeight="1">
      <c r="A11" s="77" t="inlineStr">
        <is>
          <t>Desplegado (Done)</t>
        </is>
      </c>
      <c r="B11" s="77" t="inlineStr">
        <is>
          <t>Ilimitado</t>
        </is>
      </c>
      <c r="C11" s="78" t="inlineStr">
        <is>
          <t>Incrementos de software operando en producción de alta disponibilidad.</t>
        </is>
      </c>
      <c r="D11" s="78" t="inlineStr">
        <is>
          <t>Aprobación de QA y pase a producción.</t>
        </is>
      </c>
      <c r="E11" s="78" t="inlineStr">
        <is>
          <t>Código en producción (Render/Vercel/Neon), telemetría activa.</t>
        </is>
      </c>
      <c r="F11" s="76" t="inlineStr">
        <is>
          <t>OPERATIVO</t>
        </is>
      </c>
    </row>
    <row r="14" ht="22" customHeight="1">
      <c r="A14" s="73" t="inlineStr">
        <is>
          <t>2. MÉTRICAS CUANTITATIVAS DE FLUJO ÁGIL (OBJETIVO VS REAL)</t>
        </is>
      </c>
    </row>
    <row r="15" ht="22" customHeight="1">
      <c r="A15" s="11" t="inlineStr">
        <is>
          <t>Métrica de Flujo</t>
        </is>
      </c>
      <c r="B15" s="11" t="inlineStr">
        <is>
          <t>Fórmula / Definición de Medición</t>
        </is>
      </c>
      <c r="C15" s="11" t="inlineStr">
        <is>
          <t>Meta Objetivo</t>
        </is>
      </c>
      <c r="D15" s="11" t="inlineStr">
        <is>
          <t>Valor Real (Oct-2026)</t>
        </is>
      </c>
      <c r="E15" s="11" t="inlineStr">
        <is>
          <t>Desviación / Variación</t>
        </is>
      </c>
      <c r="F15" s="11" t="inlineStr">
        <is>
          <t>Evaluación de Desempeño</t>
        </is>
      </c>
    </row>
    <row r="16" ht="24" customHeight="1">
      <c r="A16" s="79" t="inlineStr">
        <is>
          <t>Lead Time Promedio</t>
        </is>
      </c>
      <c r="B16" s="22" t="inlineStr">
        <is>
          <t>Tiempo desde creación de ticket hasta despliegue productivo</t>
        </is>
      </c>
      <c r="C16" s="25" t="inlineStr">
        <is>
          <t>&lt;= 4.0 días</t>
        </is>
      </c>
      <c r="D16" s="26" t="inlineStr">
        <is>
          <t>3.2 días</t>
        </is>
      </c>
      <c r="E16" s="25" t="inlineStr">
        <is>
          <t>-20.0% (Más ágil)</t>
        </is>
      </c>
      <c r="F16" s="27" t="inlineStr">
        <is>
          <t>CUMPLIDO CON ÉXITO</t>
        </is>
      </c>
    </row>
    <row r="17" ht="24" customHeight="1">
      <c r="A17" s="80" t="inlineStr">
        <is>
          <t>Cycle Time Promedio</t>
        </is>
      </c>
      <c r="B17" s="35" t="inlineStr">
        <is>
          <t>Tiempo activo de trabajo en desarrollo, review y pruebas</t>
        </is>
      </c>
      <c r="C17" s="38" t="inlineStr">
        <is>
          <t>&lt;= 2.5 días</t>
        </is>
      </c>
      <c r="D17" s="39" t="inlineStr">
        <is>
          <t>1.8 días</t>
        </is>
      </c>
      <c r="E17" s="38" t="inlineStr">
        <is>
          <t>-28.0% (Excelente fluidez)</t>
        </is>
      </c>
      <c r="F17" s="27" t="inlineStr">
        <is>
          <t>CUMPLIDO CON ÉXITO</t>
        </is>
      </c>
    </row>
    <row r="18" ht="24" customHeight="1">
      <c r="A18" s="79" t="inlineStr">
        <is>
          <t>Throughput Semanal</t>
        </is>
      </c>
      <c r="B18" s="22" t="inlineStr">
        <is>
          <t>Cantidad de tickets terminados y entregados por semana</t>
        </is>
      </c>
      <c r="C18" s="25" t="inlineStr">
        <is>
          <t>4 a 6 tickets/sem</t>
        </is>
      </c>
      <c r="D18" s="26" t="inlineStr">
        <is>
          <t>5.2 tickets/sem</t>
        </is>
      </c>
      <c r="E18" s="25" t="inlineStr">
        <is>
          <t>En rango óptimo</t>
        </is>
      </c>
      <c r="F18" s="27" t="inlineStr">
        <is>
          <t>CUMPLIDO CON ÉXITO</t>
        </is>
      </c>
    </row>
    <row r="19" ht="24" customHeight="1">
      <c r="A19" s="80" t="inlineStr">
        <is>
          <t>WIP Activo Total</t>
        </is>
      </c>
      <c r="B19" s="35" t="inlineStr">
        <is>
          <t>Número de tickets en progreso simultáneo (columnas activas)</t>
        </is>
      </c>
      <c r="C19" s="38" t="inlineStr">
        <is>
          <t>&lt;= 9 tickets</t>
        </is>
      </c>
      <c r="D19" s="39" t="inlineStr">
        <is>
          <t>7 tickets</t>
        </is>
      </c>
      <c r="E19" s="38" t="inlineStr">
        <is>
          <t>-22.2% (Bajo control)</t>
        </is>
      </c>
      <c r="F19" s="27" t="inlineStr">
        <is>
          <t>CUMPLIDO CON ÉXITO</t>
        </is>
      </c>
    </row>
    <row r="20" ht="24" customHeight="1">
      <c r="A20" s="79" t="inlineStr">
        <is>
          <t>Defect Escape Rate</t>
        </is>
      </c>
      <c r="B20" s="22" t="inlineStr">
        <is>
          <t>Porcentaje de bugs detectados en producción sobre cerrados</t>
        </is>
      </c>
      <c r="C20" s="25" t="inlineStr">
        <is>
          <t>&lt; 5.0%</t>
        </is>
      </c>
      <c r="D20" s="26" t="inlineStr">
        <is>
          <t>0.0%</t>
        </is>
      </c>
      <c r="E20" s="25" t="inlineStr">
        <is>
          <t>100% de calidad en PRs</t>
        </is>
      </c>
      <c r="F20" s="27" t="inlineStr">
        <is>
          <t>CUMPLIDO CON ÉXITO</t>
        </is>
      </c>
    </row>
    <row r="22" ht="22" customHeight="1">
      <c r="A22" s="73" t="inlineStr">
        <is>
          <t>3. CADENCIAS Y CEREMONIAS ÁGILES DEL EQUIPO ATLAS</t>
        </is>
      </c>
    </row>
    <row r="23" ht="22" customHeight="1">
      <c r="A23" s="11" t="inlineStr">
        <is>
          <t>Ceremonia / Dinámica</t>
        </is>
      </c>
      <c r="B23" s="11" t="inlineStr">
        <is>
          <t>Frecuencia</t>
        </is>
      </c>
      <c r="C23" s="11" t="inlineStr">
        <is>
          <t>Duración</t>
        </is>
      </c>
      <c r="D23" s="11" t="inlineStr">
        <is>
          <t>Participantes</t>
        </is>
      </c>
      <c r="E23" s="11" t="inlineStr">
        <is>
          <t>Objetivo Operacional en Proyecto Atlas</t>
        </is>
      </c>
      <c r="F23" s="11" t="inlineStr">
        <is>
          <t>Registro / Evidencia</t>
        </is>
      </c>
    </row>
    <row r="24" ht="24" customHeight="1">
      <c r="A24" s="79" t="inlineStr">
        <is>
          <t>Daily Standup</t>
        </is>
      </c>
      <c r="B24" s="25" t="inlineStr">
        <is>
          <t>Diaria (Lun a Vie)</t>
        </is>
      </c>
      <c r="C24" s="25" t="inlineStr">
        <is>
          <t>15 min</t>
        </is>
      </c>
      <c r="D24" s="22" t="inlineStr">
        <is>
          <t>Equipo Atlas completo</t>
        </is>
      </c>
      <c r="E24" s="22" t="inlineStr">
        <is>
          <t>Sincronizar tareas diarias, coordinar ramas de trabajo y detectar bloqueos inmediatamente.</t>
        </is>
      </c>
      <c r="F24" s="22" t="inlineStr">
        <is>
          <t>Bitácora Daily en Discord</t>
        </is>
      </c>
    </row>
    <row r="25" ht="24" customHeight="1">
      <c r="A25" s="80" t="inlineStr">
        <is>
          <t>Walk the Board</t>
        </is>
      </c>
      <c r="B25" s="38" t="inlineStr">
        <is>
          <t>Martes y Jueves</t>
        </is>
      </c>
      <c r="C25" s="38" t="inlineStr">
        <is>
          <t>20 min</t>
        </is>
      </c>
      <c r="D25" s="35" t="inlineStr">
        <is>
          <t>Equipo Atlas completo</t>
        </is>
      </c>
      <c r="E25" s="35" t="inlineStr">
        <is>
          <t>Inspección de derecha a izquierda del tablero Kanban para empujar tickets trabados hacia Done.</t>
        </is>
      </c>
      <c r="F25" s="35" t="inlineStr">
        <is>
          <t>Tablero Kanban GitHub</t>
        </is>
      </c>
    </row>
    <row r="26" ht="24" customHeight="1">
      <c r="A26" s="79" t="inlineStr">
        <is>
          <t>Kaizen Retrospective</t>
        </is>
      </c>
      <c r="B26" s="25" t="inlineStr">
        <is>
          <t>Quincenal</t>
        </is>
      </c>
      <c r="C26" s="25" t="inlineStr">
        <is>
          <t>45 min</t>
        </is>
      </c>
      <c r="D26" s="22" t="inlineStr">
        <is>
          <t>Equipo Atlas completo</t>
        </is>
      </c>
      <c r="E26" s="22" t="inlineStr">
        <is>
          <t>Análisis de causas raíz en desperdicios de tiempo, optimización de pipelines CI/CD y feedback docente.</t>
        </is>
      </c>
      <c r="F26" s="22" t="inlineStr">
        <is>
          <t>Actas de Retrospectiva</t>
        </is>
      </c>
    </row>
    <row r="27" ht="24" customHeight="1">
      <c r="A27" s="80" t="inlineStr">
        <is>
          <t>CodeFlow Review</t>
        </is>
      </c>
      <c r="B27" s="38" t="inlineStr">
        <is>
          <t>Bajo Demanda</t>
        </is>
      </c>
      <c r="C27" s="38" t="inlineStr">
        <is>
          <t>Asíncrono</t>
        </is>
      </c>
      <c r="D27" s="35" t="inlineStr">
        <is>
          <t>Pares desarrolladores</t>
        </is>
      </c>
      <c r="E27" s="35" t="inlineStr">
        <is>
          <t>Revisión técnica minuciosa de PRs contra estándares de seguridad, tipado estricto y cobertura.</t>
        </is>
      </c>
      <c r="F27" s="35" t="inlineStr">
        <is>
          <t>Pull Requests en GitHub</t>
        </is>
      </c>
    </row>
  </sheetData>
  <mergeCells count="5">
    <mergeCell ref="A2:F2"/>
    <mergeCell ref="A14:F14"/>
    <mergeCell ref="A1:F1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2026-10-23T02:00:07Z</dcterms:created>
  <dcterms:modified xmlns:dcterms="http://purl.org/dc/terms/" xmlns:xsi="http://www.w3.org/2001/XMLSchema-instance" xsi:type="dcterms:W3CDTF">2026-10-23T02:00:07Z</dcterms:modified>
</cp:coreProperties>
</file>