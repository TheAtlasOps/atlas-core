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27932"/>
  <workbookPr defaultThemeVersion="166925"/>
  <bookViews>
    <workbookView xWindow="-108" yWindow="-108" windowWidth="23256" windowHeight="12576" activeTab="0"/>
  </bookViews>
  <sheets>
    <sheet name="EVALUACION1" sheetId="1" r:id="rId1"/>
    <sheet name="RUBRICA" sheetId="6" r:id="rId2"/>
    <sheet name="ESCALA_IEP" sheetId="2" r:id="rId3" state="hidden"/>
    <sheet name="ESCALA_PRESENTACION" sheetId="3" r:id="rId4" state="hidden"/>
    <sheet name="ESCALA_TRAB_EQUIP" sheetId="4" r:id="rId5" state="hidden"/>
    <sheet name="RELEVANCIA-PUNTAJE" sheetId="5" r:id="rId6" state="hidden"/>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<sst xmlns="http://schemas.openxmlformats.org/spreadsheetml/2006/main" uniqueCount="99" count="99">
  <si>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</si>
  <si>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</si>
  <si>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</si>
  <si>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</si>
  <si>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</si>
  <si>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</si>
  <si>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</si>
  <si>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</si>
  <si>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</si>
  <si>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</si>
  <si>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</si>
  <si>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</si>
  <si>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</si>
  <si>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</si>
  <si>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</si>
  <si>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</si>
  <si>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</si>
  <si>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</si>
  <si>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</si>
  <si>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</si>
  <si>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</si>
  <si>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rPr>
      <t>100%)</t>
    </r>
  </si>
  <si>
    <r>
      <t>Logrado</t>
    </r>
    <r>
      <rPr>
        <b/>
        <sz val="10"/>
        <color rgb="FFFFFFFF"/>
        <rFont val="Calibri"/>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</si>
  <si>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</si>
  <si>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</si>
  <si>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</si>
  <si>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</si>
  <si>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</si>
  <si>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</si>
  <si>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</si>
  <si>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</si>
  <si>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</si>
  <si>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</si>
  <si>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</si>
  <si>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</si>
  <si>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</si>
  <si>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</si>
  <si>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</si>
  <si>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</si>
  <si>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</si>
  <si>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</si>
  <si>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</si>
  <si>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</si>
  <si>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</si>
  <si>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</si>
  <si>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</si>
  <si>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</si>
  <si>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</si>
  <si>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</si>
  <si>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</si>
  <si>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</si>
  <si>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</si>
  <si>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</si>
  <si>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</si>
  <si>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</si>
  <si>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</si>
  <si>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</si>
  <si>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</si>
  <si>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</si>
  <si>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</si>
  <si>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</si>
  <si>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</si>
  <si>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</si>
  <si>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</si>
  <si>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</si>
  <si>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</si>
  <si>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</si>
  <si>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</si>
  <si>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</si>
  <si>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</si>
  <si>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</si>
  <si>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</si>
  <si>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</si>
  <si>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</si>
  <si>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</si>
  <si>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</si>
  <si>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</si>
  <si>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</si>
  <si>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</si>
  <si>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</si>
  <si>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</si>
  <si>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</si>
  <si>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</si>
  <si>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</si>
  <si>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</si>
  <si>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</si>
  <si>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</si>
  <si>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</si>
  <si>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</si>
  <si>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</si>
  <si>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</si>
  <si>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</si>
  <si>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</si>
  <si>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</si>
  <si>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</si>
  <si>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</si>
  <si>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 xml:space="preserve">Joaquin Mendoza </t>
  </si>
  <si>
    <t xml:space="preserve">Diego Jimenez </t>
  </si>
  <si>
    <t xml:space="preserve">Alexandre Saez </t>
  </si>
</sst>
</file>

<file path=xl/styles.xml><?xml version="1.0" encoding="utf-8"?>
<styleSheet xmlns="http://schemas.openxmlformats.org/spreadsheetml/2006/main">
  <numFmts count="3">
    <numFmt numFmtId="0" formatCode="General"/>
    <numFmt numFmtId="9" formatCode="0%"/>
    <numFmt numFmtId="164" formatCode="0.0"/>
  </numFmts>
  <fonts count="15">
    <font>
      <name val="Calibri"/>
      <sz val="11"/>
    </font>
    <font>
      <name val="Calibri"/>
      <sz val="11"/>
      <color rgb="FF000000"/>
    </font>
    <font>
      <name val="Calibri"/>
      <b/>
      <sz val="11"/>
      <color rgb="FF000000"/>
    </font>
    <font>
      <name val="Calibri"/>
      <sz val="11"/>
    </font>
    <font>
      <name val="Calibri"/>
      <sz val="11"/>
      <color rgb="FF000000"/>
    </font>
    <font>
      <name val="Calibri"/>
      <sz val="20"/>
      <color rgb="FF000000"/>
    </font>
    <font>
      <name val="Calibri"/>
      <b/>
      <sz val="14"/>
      <color rgb="FF000000"/>
    </font>
    <font>
      <name val="Calibri"/>
      <b/>
      <sz val="10"/>
      <color rgb="FF000000"/>
    </font>
    <font>
      <name val="Calibri"/>
      <sz val="9"/>
      <color rgb="FF000000"/>
    </font>
    <font>
      <name val="Calibri"/>
      <sz val="10"/>
      <color rgb="FF000000"/>
    </font>
    <font>
      <name val="Calibri"/>
      <sz val="14"/>
      <color rgb="FF000000"/>
    </font>
    <font>
      <name val="Calibri"/>
      <sz val="16"/>
      <color rgb="FF000000"/>
    </font>
    <font>
      <name val="Calibri"/>
      <b/>
      <sz val="10"/>
      <color rgb="FFFFFFFF"/>
    </font>
    <font>
      <name val="Calibri"/>
      <b/>
      <sz val="11"/>
      <color rgb="FFFFFFFF"/>
    </font>
    <font>
      <name val="Calibri"/>
      <b/>
      <sz val="10"/>
      <color rgb="FF3B3838"/>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style="medium">
        <color rgb="FF7F7F7F"/>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alignment vertical="center"/>
    </xf>
  </cellStyleXfs>
  <cellXfs count="79">
    <xf numFmtId="0" fontId="0" fillId="0" borderId="0" xfId="0">
      <alignment vertical="center"/>
    </xf>
    <xf numFmtId="9" fontId="1" fillId="2" borderId="1" xfId="0" applyNumberFormat="1" applyFill="1" applyBorder="1" applyAlignment="1">
      <alignment horizontal="center" vertical="center" wrapText="1"/>
    </xf>
    <xf numFmtId="9" fontId="1" fillId="3" borderId="2" xfId="0" applyNumberFormat="1" applyFill="1" applyBorder="1" applyAlignment="1">
      <alignment horizontal="center" vertical="center"/>
    </xf>
    <xf numFmtId="0" fontId="2" fillId="0" borderId="0" xfId="0" applyFont="1" applyAlignment="1">
      <alignment vertical="bottom"/>
    </xf>
    <xf numFmtId="0" fontId="1" fillId="2" borderId="1" xfId="0" applyFill="1" applyBorder="1" applyAlignment="1">
      <alignment horizontal="center" vertical="center" wrapText="1"/>
    </xf>
    <xf numFmtId="0" fontId="3" fillId="0" borderId="3" xfId="0" applyFont="1" applyBorder="1" applyAlignment="1">
      <alignment vertical="bottom"/>
    </xf>
    <xf numFmtId="0" fontId="1" fillId="0" borderId="0" xfId="0" applyAlignment="1">
      <alignment horizontal="right" vertical="center"/>
    </xf>
    <xf numFmtId="0" fontId="4" fillId="0" borderId="4" xfId="0" applyFont="1" applyBorder="1" applyAlignment="1">
      <alignment horizontal="left" vertical="bottom"/>
    </xf>
    <xf numFmtId="164" fontId="1" fillId="2" borderId="1" xfId="0" applyNumberFormat="1" applyFill="1" applyBorder="1" applyAlignment="1">
      <alignment horizontal="center" vertical="bottom"/>
    </xf>
    <xf numFmtId="164" fontId="1" fillId="3" borderId="1" xfId="0" applyNumberFormat="1" applyFill="1" applyBorder="1" applyAlignment="1">
      <alignment horizontal="center" vertical="bottom"/>
      <protection locked="0" hidden="0"/>
    </xf>
    <xf numFmtId="164" fontId="1" fillId="0" borderId="0" xfId="0" applyNumberFormat="1" applyAlignment="1">
      <alignment vertical="bottom"/>
    </xf>
    <xf numFmtId="0" fontId="5" fillId="4" borderId="2" xfId="0" applyFont="1" applyFill="1" applyBorder="1" applyAlignment="1">
      <alignment horizontal="center" vertical="center" textRotation="255"/>
    </xf>
    <xf numFmtId="0" fontId="6" fillId="5" borderId="1"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3" fillId="0" borderId="5" xfId="0" applyFont="1" applyBorder="1" applyAlignment="1">
      <alignment vertical="bottom"/>
    </xf>
    <xf numFmtId="0" fontId="3" fillId="0" borderId="6" xfId="0" applyFont="1" applyBorder="1" applyAlignment="1">
      <alignment vertical="bottom"/>
    </xf>
    <xf numFmtId="0" fontId="3" fillId="0" borderId="7" xfId="0" applyFont="1" applyBorder="1" applyAlignment="1">
      <alignment vertical="bottom"/>
    </xf>
    <xf numFmtId="0" fontId="7" fillId="5" borderId="2" xfId="0" applyFont="1" applyFill="1" applyBorder="1" applyAlignment="1">
      <alignment horizontal="center" vertical="center"/>
    </xf>
    <xf numFmtId="0" fontId="3" fillId="0" borderId="8" xfId="0" applyFont="1" applyBorder="1" applyAlignment="1">
      <alignment vertical="bottom"/>
    </xf>
    <xf numFmtId="0" fontId="8" fillId="0" borderId="9" xfId="0" applyFont="1" applyBorder="1" applyAlignment="1">
      <alignment horizontal="left" vertical="center" wrapText="1"/>
    </xf>
    <xf numFmtId="0" fontId="9" fillId="0" borderId="6" xfId="0" applyFont="1" applyBorder="1" applyAlignment="1">
      <alignment horizontal="left" vertical="center"/>
    </xf>
    <xf numFmtId="0" fontId="9" fillId="0" borderId="1" xfId="0" applyFont="1" applyBorder="1" applyAlignment="1">
      <alignment horizontal="center" vertical="center"/>
    </xf>
    <xf numFmtId="0" fontId="8" fillId="0" borderId="3" xfId="0" applyFont="1" applyBorder="1" applyAlignment="1">
      <alignment horizontal="right" vertical="center" wrapText="1"/>
    </xf>
    <xf numFmtId="0" fontId="10" fillId="0" borderId="2" xfId="0" applyFont="1" applyBorder="1" applyAlignment="1">
      <alignment vertical="bottom"/>
    </xf>
    <xf numFmtId="0" fontId="1" fillId="6" borderId="1" xfId="0" applyFill="1" applyBorder="1" applyAlignment="1">
      <alignment vertical="bottom"/>
    </xf>
    <xf numFmtId="0" fontId="8" fillId="0" borderId="4" xfId="0" applyFont="1" applyBorder="1" applyAlignment="1">
      <alignment horizontal="right" vertical="center" wrapText="1"/>
    </xf>
    <xf numFmtId="164" fontId="10" fillId="0" borderId="1" xfId="0" applyNumberFormat="1" applyFont="1" applyBorder="1" applyAlignment="1">
      <alignment vertical="bottom"/>
    </xf>
    <xf numFmtId="0" fontId="1" fillId="7" borderId="2" xfId="0" applyFill="1" applyBorder="1" applyAlignment="1">
      <alignment horizontal="center" vertical="center" textRotation="255"/>
    </xf>
    <xf numFmtId="0" fontId="1" fillId="3" borderId="2" xfId="0" applyFill="1" applyBorder="1" applyAlignment="1">
      <alignment horizontal="right" vertical="center"/>
    </xf>
    <xf numFmtId="0" fontId="11" fillId="0" borderId="10" xfId="0" applyFont="1" applyBorder="1" applyAlignment="1">
      <alignment horizontal="left" vertical="center"/>
    </xf>
    <xf numFmtId="0" fontId="3" fillId="0" borderId="11" xfId="0" applyFont="1" applyBorder="1" applyAlignment="1">
      <alignment vertical="bottom"/>
    </xf>
    <xf numFmtId="0" fontId="3" fillId="0" borderId="12" xfId="0" applyFont="1" applyBorder="1" applyAlignment="1">
      <alignment vertical="bottom"/>
    </xf>
    <xf numFmtId="0" fontId="3" fillId="0" borderId="13" xfId="0" applyFont="1" applyBorder="1" applyAlignment="1">
      <alignment vertical="bottom"/>
    </xf>
    <xf numFmtId="0" fontId="3" fillId="0" borderId="14" xfId="0" applyFont="1" applyBorder="1" applyAlignment="1">
      <alignment vertical="bottom"/>
    </xf>
    <xf numFmtId="0" fontId="3" fillId="0" borderId="15" xfId="0" applyFont="1" applyBorder="1" applyAlignment="1">
      <alignment vertical="bottom"/>
    </xf>
    <xf numFmtId="0" fontId="7" fillId="5" borderId="1" xfId="0" applyFont="1" applyFill="1" applyBorder="1" applyAlignment="1">
      <alignment horizontal="center" vertical="center"/>
    </xf>
    <xf numFmtId="0" fontId="2" fillId="0" borderId="1" xfId="0" applyFont="1" applyBorder="1" applyAlignment="1">
      <alignment horizontal="right" vertical="center" wrapText="1"/>
    </xf>
    <xf numFmtId="0" fontId="10" fillId="0" borderId="1" xfId="0" applyFont="1" applyBorder="1" applyAlignment="1">
      <alignment vertical="bottom"/>
    </xf>
    <xf numFmtId="0" fontId="8" fillId="0" borderId="1" xfId="0" applyFont="1" applyBorder="1" applyAlignment="1">
      <alignment horizontal="right" vertical="center" wrapText="1"/>
    </xf>
    <xf numFmtId="0" fontId="8" fillId="0" borderId="0" xfId="0" applyFont="1" applyAlignment="1">
      <alignment horizontal="right" vertical="center" wrapText="1"/>
    </xf>
    <xf numFmtId="164" fontId="10" fillId="0" borderId="0" xfId="0" applyNumberFormat="1" applyFont="1" applyAlignment="1">
      <alignment vertical="bottom"/>
    </xf>
    <xf numFmtId="0" fontId="12" fillId="8" borderId="16" xfId="0" applyFont="1" applyFill="1" applyBorder="1" applyAlignment="1">
      <alignment horizontal="center" vertical="center" wrapText="1"/>
    </xf>
    <xf numFmtId="0" fontId="12" fillId="8" borderId="17" xfId="0" applyFont="1" applyFill="1" applyBorder="1" applyAlignment="1">
      <alignment horizontal="center" vertical="center" wrapText="1"/>
    </xf>
    <xf numFmtId="0" fontId="12" fillId="8" borderId="18" xfId="0" applyFont="1" applyFill="1" applyBorder="1" applyAlignment="1">
      <alignment horizontal="center" vertical="center" wrapText="1"/>
    </xf>
    <xf numFmtId="0" fontId="12" fillId="8" borderId="19" xfId="0" applyFont="1" applyFill="1" applyBorder="1" applyAlignment="1">
      <alignment horizontal="center" vertical="center" wrapText="1"/>
    </xf>
    <xf numFmtId="0" fontId="12" fillId="8" borderId="20" xfId="0" applyFont="1" applyFill="1" applyBorder="1" applyAlignment="1">
      <alignment horizontal="center" vertical="center" wrapText="1"/>
    </xf>
    <xf numFmtId="0" fontId="13" fillId="8" borderId="16" xfId="0" applyFont="1" applyFill="1" applyBorder="1" applyAlignment="1">
      <alignment horizontal="center" vertical="center" wrapText="1"/>
    </xf>
    <xf numFmtId="0" fontId="13" fillId="8" borderId="21" xfId="0" applyFont="1" applyFill="1" applyBorder="1" applyAlignment="1">
      <alignment horizontal="center" vertical="center" wrapText="1"/>
    </xf>
    <xf numFmtId="0" fontId="12" fillId="8" borderId="21" xfId="0" applyFont="1" applyFill="1" applyBorder="1" applyAlignment="1">
      <alignment horizontal="center" vertical="center" wrapText="1"/>
    </xf>
    <xf numFmtId="0" fontId="12" fillId="8" borderId="22" xfId="0" applyFont="1" applyFill="1" applyBorder="1" applyAlignment="1">
      <alignment horizontal="center" vertical="center" wrapText="1"/>
    </xf>
    <xf numFmtId="0" fontId="13" fillId="8" borderId="22" xfId="0" applyFont="1" applyFill="1" applyBorder="1" applyAlignment="1">
      <alignment horizontal="center" vertical="center" wrapText="1"/>
    </xf>
    <xf numFmtId="9" fontId="12" fillId="8" borderId="23" xfId="0" applyNumberFormat="1" applyFont="1" applyFill="1" applyBorder="1" applyAlignment="1">
      <alignment horizontal="center" vertical="center" wrapText="1"/>
    </xf>
    <xf numFmtId="0" fontId="9" fillId="0" borderId="22" xfId="0" applyFont="1" applyBorder="1" applyAlignment="1">
      <alignment horizontal="justify" vertical="center" wrapText="1"/>
    </xf>
    <xf numFmtId="0" fontId="9"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9" fillId="0" borderId="16" xfId="0" applyFont="1" applyBorder="1" applyAlignment="1">
      <alignment horizontal="justify" vertical="center" wrapText="1"/>
    </xf>
    <xf numFmtId="0" fontId="9" fillId="0" borderId="21" xfId="0" applyFont="1" applyBorder="1" applyAlignment="1">
      <alignment horizontal="justify" vertical="center" wrapText="1"/>
    </xf>
    <xf numFmtId="0" fontId="14" fillId="0" borderId="16" xfId="0" applyFont="1" applyBorder="1" applyAlignment="1">
      <alignment horizontal="center" vertical="center" wrapText="1"/>
    </xf>
    <xf numFmtId="0" fontId="9" fillId="0" borderId="9" xfId="0" applyFont="1" applyBorder="1" applyAlignment="1">
      <alignment horizontal="justify" vertical="center" wrapText="1"/>
    </xf>
    <xf numFmtId="0" fontId="14" fillId="0" borderId="24" xfId="0" applyFont="1" applyBorder="1" applyAlignment="1">
      <alignment horizontal="center" vertical="center" wrapText="1"/>
    </xf>
    <xf numFmtId="0" fontId="9" fillId="0" borderId="20" xfId="0" applyFont="1" applyBorder="1" applyAlignment="1">
      <alignment horizontal="justify" vertical="center" wrapText="1"/>
    </xf>
    <xf numFmtId="0" fontId="14" fillId="0" borderId="21"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17" xfId="0" applyFont="1" applyBorder="1" applyAlignment="1">
      <alignment horizontal="right" vertical="center" wrapText="1"/>
    </xf>
    <xf numFmtId="0" fontId="14" fillId="0" borderId="18" xfId="0" applyFont="1" applyBorder="1" applyAlignment="1">
      <alignment horizontal="right" vertical="center" wrapText="1"/>
    </xf>
    <xf numFmtId="0" fontId="14" fillId="0" borderId="19" xfId="0" applyFont="1" applyBorder="1" applyAlignment="1">
      <alignment horizontal="right" vertical="center" wrapText="1"/>
    </xf>
    <xf numFmtId="9" fontId="14" fillId="0" borderId="23" xfId="0" applyNumberFormat="1" applyFont="1" applyBorder="1" applyAlignment="1">
      <alignment horizontal="center" vertical="center" wrapText="1"/>
    </xf>
    <xf numFmtId="164" fontId="1" fillId="0" borderId="0" xfId="0" applyNumberFormat="1" applyAlignment="1">
      <alignment horizontal="right" vertical="bottom"/>
    </xf>
    <xf numFmtId="0" fontId="2" fillId="5" borderId="25" xfId="0" applyFont="1" applyFill="1" applyBorder="1" applyAlignment="1">
      <alignment horizontal="left" vertical="center" wrapText="1"/>
    </xf>
    <xf numFmtId="0" fontId="2" fillId="5" borderId="26" xfId="0" applyFont="1" applyFill="1" applyBorder="1" applyAlignment="1">
      <alignment vertical="center" wrapText="1"/>
    </xf>
    <xf numFmtId="0" fontId="2" fillId="5" borderId="27" xfId="0" applyFont="1" applyFill="1" applyBorder="1" applyAlignment="1">
      <alignment vertical="center" wrapText="1"/>
    </xf>
    <xf numFmtId="0" fontId="2" fillId="5" borderId="28" xfId="0" applyFont="1" applyFill="1" applyBorder="1" applyAlignment="1">
      <alignment vertical="center" wrapText="1"/>
    </xf>
    <xf numFmtId="0" fontId="3" fillId="0" borderId="29" xfId="0" applyFont="1" applyBorder="1" applyAlignment="1">
      <alignment vertical="bottom"/>
    </xf>
    <xf numFmtId="0" fontId="2" fillId="5" borderId="30" xfId="0" applyFont="1" applyFill="1" applyBorder="1" applyAlignment="1">
      <alignment vertical="center" wrapText="1"/>
    </xf>
    <xf numFmtId="0" fontId="2" fillId="5" borderId="31" xfId="0" applyFont="1" applyFill="1" applyBorder="1" applyAlignment="1">
      <alignment vertical="center" wrapText="1"/>
    </xf>
    <xf numFmtId="0" fontId="2" fillId="5" borderId="32" xfId="0" applyFont="1" applyFill="1" applyBorder="1" applyAlignment="1">
      <alignment vertical="center" wrapText="1"/>
    </xf>
    <xf numFmtId="0" fontId="2" fillId="0" borderId="29" xfId="0" applyFont="1" applyBorder="1" applyAlignment="1">
      <alignment horizontal="left" vertical="center" wrapText="1"/>
    </xf>
    <xf numFmtId="0" fontId="2" fillId="0" borderId="32" xfId="0" applyFont="1" applyBorder="1" applyAlignment="1">
      <alignment horizontal="left" vertical="center" wrapText="1"/>
    </xf>
  </cellXfs>
  <cellStyles count="1">
    <cellStyle name="常规" xfId="0" builtinId="0"/>
  </cellStyles>
  <dxfs count="2">
    <dxf>
      <font>
        <color rgb="FF9C0006"/>
      </font>
      <fill>
        <patternFill/>
      </fill>
    </dxf>
    <dxf>
      <font>
        <color rgb="FF9C0006"/>
      </font>
      <fill>
        <patternFill/>
      </fill>
    </dxf>
  </dxfs>
  <tableStyles defaultTableStyle="TableStyleMedium2"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www.wps.cn/officeDocument/2020/cellImage" Target="cellimages.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L929"/>
  <sheetViews>
    <sheetView tabSelected="1" workbookViewId="0" zoomScale="65">
      <selection activeCell="C13" sqref="C13"/>
    </sheetView>
  </sheetViews>
  <sheetFormatPr defaultRowHeight="15.0" customHeight="1" defaultColWidth="14" outlineLevelRow="1"/>
  <cols>
    <col min="1" max="1" customWidth="1" width="10.6640625" style="0"/>
    <col min="2" max="2" customWidth="1" width="66.88672" style="0"/>
    <col min="3" max="3" customWidth="1" bestFit="1" width="22.0" style="0"/>
    <col min="4" max="4" customWidth="1" width="11.332031" style="0"/>
    <col min="5" max="7" customWidth="1" width="11.6640625" style="0"/>
    <col min="8" max="8" customWidth="1" width="7.6640625" style="0"/>
    <col min="9" max="9" customWidth="1" width="11.6640625" style="0"/>
    <col min="10" max="10" customWidth="1" width="7.6640625" style="0"/>
    <col min="11" max="11" customWidth="1" width="11.6640625" style="0"/>
    <col min="12" max="24" customWidth="1" width="10.6640625" style="0"/>
  </cols>
  <sheetData>
    <row r="2" spans="8:8" ht="14.4">
      <c r="C2" s="1">
        <v>0.75</v>
      </c>
      <c r="D2" s="1">
        <v>0.25</v>
      </c>
      <c r="E2" s="2">
        <v>1.0</v>
      </c>
    </row>
    <row r="3" spans="8:8" ht="14.4">
      <c r="B3" s="3" t="s">
        <v>0</v>
      </c>
      <c r="C3" s="4" t="s">
        <v>1</v>
      </c>
      <c r="D3" s="1" t="s">
        <v>2</v>
      </c>
      <c r="E3" s="5"/>
    </row>
    <row r="4" spans="8:8" ht="14.4">
      <c r="A4" s="6">
        <v>1.0</v>
      </c>
      <c r="B4" s="7" t="s">
        <v>96</v>
      </c>
      <c r="C4" s="8">
        <f>EVALUACION1!$C$24</f>
        <v>6.6</v>
      </c>
      <c r="D4" s="8">
        <f>$C$35</f>
        <v>7.0</v>
      </c>
      <c r="E4" s="9">
        <f>C4*C$2+D4*D$2</f>
        <v>6.7</v>
      </c>
      <c r="G4" s="10"/>
    </row>
    <row r="5" spans="8:8" ht="14.4">
      <c r="A5" s="6">
        <v>2.0</v>
      </c>
      <c r="B5" s="7" t="s">
        <v>97</v>
      </c>
      <c r="C5" s="8">
        <f>EVALUACION1!$C$24</f>
        <v>6.6</v>
      </c>
      <c r="D5" s="8">
        <f>C47</f>
        <v>7.0</v>
      </c>
      <c r="E5" s="9">
        <f t="shared" si="0" ref="E5:E6">C5*C$2+D5*D$2</f>
        <v>6.7</v>
      </c>
      <c r="G5" s="10"/>
    </row>
    <row r="6" spans="8:8" ht="14.4">
      <c r="A6" s="6">
        <v>3.0</v>
      </c>
      <c r="B6" s="7" t="s">
        <v>98</v>
      </c>
      <c r="C6" s="8">
        <f>EVALUACION1!$C$24</f>
        <v>6.6</v>
      </c>
      <c r="D6" s="8">
        <f>C58</f>
        <v>7.0</v>
      </c>
      <c r="E6" s="9">
        <f t="shared" si="0"/>
        <v>6.7</v>
      </c>
      <c r="G6" s="10"/>
    </row>
    <row r="11" spans="8:8" ht="18.0" outlineLevel="1">
      <c r="A11" s="11" t="s">
        <v>3</v>
      </c>
      <c r="B11" s="12"/>
      <c r="C11" s="13" t="s">
        <v>4</v>
      </c>
      <c r="D11" s="14" t="s">
        <v>5</v>
      </c>
      <c r="E11" s="15"/>
      <c r="F11" s="15"/>
      <c r="G11" s="15"/>
      <c r="H11" s="15"/>
      <c r="I11" s="15"/>
      <c r="J11" s="15"/>
      <c r="K11" s="16"/>
    </row>
    <row r="12" spans="8:8" ht="14.4" outlineLevel="1">
      <c r="A12" s="17"/>
      <c r="B12" s="18" t="s">
        <v>6</v>
      </c>
      <c r="C12" s="5"/>
      <c r="D12" s="14" t="s">
        <v>7</v>
      </c>
      <c r="E12" s="16"/>
      <c r="F12" s="14" t="s">
        <v>8</v>
      </c>
      <c r="G12" s="16"/>
      <c r="H12" s="14" t="s">
        <v>9</v>
      </c>
      <c r="I12" s="16"/>
      <c r="J12" s="14" t="s">
        <v>10</v>
      </c>
      <c r="K12" s="16"/>
    </row>
    <row r="13" spans="8:8" ht="24.0" outlineLevel="1">
      <c r="A13" s="19"/>
      <c r="B13" s="20" t="str">
        <f>RUBRICA!A5</f>
        <v>1. Describe brevemente en qué consiste el Proyecto APT, justificando su relevancia para el campo laboral de su carrera.</v>
      </c>
      <c r="C13" s="21" t="s">
        <v>7</v>
      </c>
      <c r="D13" s="22" t="s">
        <v>95</v>
      </c>
      <c r="E13" s="22">
        <f>IF(D13="X",100*0.1,"")</f>
        <v>10.0</v>
      </c>
      <c r="F13" s="22" t="str">
        <f t="shared" si="1" ref="F13:F16">IF($C13=L,"X","")</f>
        <v/>
      </c>
      <c r="G13" s="22" t="str">
        <f>IF(F13="X",60*0.1,"")</f>
        <v/>
      </c>
      <c r="H13" s="22" t="str">
        <f t="shared" si="2" ref="H13:H16">IF($C13=ML,"X","")</f>
        <v/>
      </c>
      <c r="I13" s="22" t="str">
        <f>IF(H13="X",30*0.1,"")</f>
        <v/>
      </c>
      <c r="J13" s="22" t="str">
        <f t="shared" si="3" ref="J13:J16">IF($C13=NL,"X","")</f>
        <v/>
      </c>
      <c r="K13" s="22" t="str">
        <f t="shared" si="4" ref="K13:K16">IF($J13="X",0,"")</f>
        <v/>
      </c>
    </row>
    <row r="14" spans="8:8" ht="26.4" outlineLevel="1" customHeight="1">
      <c r="A14" s="19"/>
      <c r="B14" s="20" t="str">
        <f>RUBRICA!A6</f>
        <v>2. Relaciona el Proyecto APT con las competencias del perfil de egreso de su Plan de Estudio.</v>
      </c>
      <c r="C14" s="21" t="s">
        <v>7</v>
      </c>
      <c r="D14" s="22" t="s">
        <v>95</v>
      </c>
      <c r="E14" s="22">
        <f t="shared" si="5" ref="E14">IF(D14="X",100*0.05,"")</f>
        <v>5.0</v>
      </c>
      <c r="F14" s="22" t="str">
        <f t="shared" si="1"/>
        <v/>
      </c>
      <c r="G14" s="22" t="str">
        <f t="shared" si="6" ref="G14">IF(F14="X",60*0.05,"")</f>
        <v/>
      </c>
      <c r="H14" s="22" t="str">
        <f t="shared" si="2"/>
        <v/>
      </c>
      <c r="I14" s="22" t="str">
        <f t="shared" si="7" ref="I14">IF(H14="X",30*0.05,"")</f>
        <v/>
      </c>
      <c r="J14" s="22" t="str">
        <f t="shared" si="3"/>
        <v/>
      </c>
      <c r="K14" s="22" t="str">
        <f t="shared" si="4"/>
        <v/>
      </c>
    </row>
    <row r="15" spans="8:8" ht="14.4" outlineLevel="1">
      <c r="A15" s="19"/>
      <c r="B15" s="20" t="str">
        <f>RUBRICA!A8</f>
        <v>4.  Argumenta por qué el proyecto es factible de realizarse en el marco de la asignatura. </v>
      </c>
      <c r="C15" s="21" t="s">
        <v>7</v>
      </c>
      <c r="D15" s="22" t="s">
        <v>95</v>
      </c>
      <c r="E15" s="22">
        <f t="shared" si="8" ref="E15:E21">IF(D15="X",100*0.05,"")</f>
        <v>5.0</v>
      </c>
      <c r="F15" s="22" t="str">
        <f t="shared" si="1"/>
        <v/>
      </c>
      <c r="G15" s="22" t="str">
        <f t="shared" si="9" ref="G15:G21">IF(F15="X",60*0.05,"")</f>
        <v/>
      </c>
      <c r="H15" s="22" t="str">
        <f t="shared" si="2"/>
        <v/>
      </c>
      <c r="I15" s="22" t="str">
        <f t="shared" si="10" ref="I15:I21">IF(H15="X",30*0.05,"")</f>
        <v/>
      </c>
      <c r="J15" s="22" t="str">
        <f t="shared" si="3"/>
        <v/>
      </c>
      <c r="K15" s="22" t="str">
        <f t="shared" si="4"/>
        <v/>
      </c>
    </row>
    <row r="16" spans="8:8" ht="14.4" outlineLevel="1">
      <c r="A16" s="19"/>
      <c r="B16" s="20" t="str">
        <f>RUBRICA!A9</f>
        <v>5. Formula objetivos claros, concisos y coherentes con la disciplina y la situación a abordar. </v>
      </c>
      <c r="C16" s="21" t="s">
        <v>7</v>
      </c>
      <c r="D16" s="22" t="s">
        <v>95</v>
      </c>
      <c r="E16" s="22">
        <f>IF(D16="X",100*0.05,"")</f>
        <v>5.0</v>
      </c>
      <c r="F16" s="22" t="str">
        <f t="shared" si="1"/>
        <v/>
      </c>
      <c r="G16" s="22" t="str">
        <f>IF(F16="X",60*0.05,"")</f>
        <v/>
      </c>
      <c r="H16" s="22" t="str">
        <f t="shared" si="2"/>
        <v/>
      </c>
      <c r="I16" s="22" t="str">
        <f>IF(H16="X",30*0.05,"")</f>
        <v/>
      </c>
      <c r="J16" s="22" t="str">
        <f t="shared" si="3"/>
        <v/>
      </c>
      <c r="K16" s="22" t="str">
        <f t="shared" si="4"/>
        <v/>
      </c>
    </row>
    <row r="17" spans="8:8" ht="24.0" outlineLevel="1">
      <c r="A17" s="19"/>
      <c r="B17" s="20" t="str">
        <f>RUBRICA!A10</f>
        <v>6. Propone una metodología de trabajo que permite alcanzar los objetivos propuestos y es pertinente con los requerimientos disciplinares.</v>
      </c>
      <c r="C17" s="21" t="s">
        <v>7</v>
      </c>
      <c r="D17" s="22" t="s">
        <v>95</v>
      </c>
      <c r="E17" s="22">
        <f t="shared" si="11" ref="E17">IF(D17="X",100*0.1,"")</f>
        <v>10.0</v>
      </c>
      <c r="F17" s="22" t="str">
        <f t="shared" si="12" ref="F17:F22">IF($C17=L,"X","")</f>
        <v/>
      </c>
      <c r="G17" s="22" t="str">
        <f t="shared" si="13" ref="G17">IF(F17="X",60*0.1,"")</f>
        <v/>
      </c>
      <c r="H17" s="22" t="str">
        <f t="shared" si="14" ref="H17:H22">IF($C17=ML,"X","")</f>
        <v/>
      </c>
      <c r="I17" s="22" t="str">
        <f t="shared" si="15" ref="I17">IF(H17="X",30*0.1,"")</f>
        <v/>
      </c>
      <c r="J17" s="22" t="str">
        <f t="shared" si="16" ref="J17:J22">IF($C17=NL,"X","")</f>
        <v/>
      </c>
      <c r="K17" s="22" t="str">
        <f t="shared" si="17" ref="K17:K22">IF($J17="X",0,"")</f>
        <v/>
      </c>
    </row>
    <row r="18" spans="8:8" ht="24.0" outlineLevel="1">
      <c r="A18" s="19"/>
      <c r="B18" s="20" t="str">
        <f>RUBRICA!A11</f>
        <v>7. Establece un plan de trabajo para su proyecto APT considerando los recursos, duración, facilitadores y obstaculizadores en el desarrollo de las actividades. </v>
      </c>
      <c r="C18" s="21" t="s">
        <v>7</v>
      </c>
      <c r="D18" s="22" t="s">
        <v>95</v>
      </c>
      <c r="E18" s="22">
        <v>10.0</v>
      </c>
      <c r="F18" s="22"/>
      <c r="G18" s="22" t="str">
        <f t="shared" si="18" ref="G18">IF(F18="X",60*0.1,"")</f>
        <v/>
      </c>
      <c r="H18" s="22" t="str">
        <f t="shared" si="14"/>
        <v/>
      </c>
      <c r="I18" s="22" t="str">
        <f t="shared" si="19" ref="I18">IF(H18="X",30*0.1,"")</f>
        <v/>
      </c>
      <c r="J18" s="22" t="str">
        <f t="shared" si="16"/>
        <v/>
      </c>
      <c r="K18" s="22" t="str">
        <f t="shared" si="17"/>
        <v/>
      </c>
    </row>
    <row r="19" spans="8:8" ht="24.0" outlineLevel="1">
      <c r="A19" s="19"/>
      <c r="B19" s="20" t="str">
        <f>RUBRICA!A12</f>
        <v>8. Determina evidencias, justificando cómo estas dan cuenta del logro de las actividades del Proyecto APT.</v>
      </c>
      <c r="C19" s="21" t="s">
        <v>7</v>
      </c>
      <c r="D19" s="22" t="s">
        <v>95</v>
      </c>
      <c r="E19" s="22">
        <f>IF(D19="X",100*0.05,"")</f>
        <v>5.0</v>
      </c>
      <c r="F19" s="22" t="str">
        <f t="shared" si="12"/>
        <v/>
      </c>
      <c r="G19" s="22" t="str">
        <f t="shared" si="20" ref="G19">IF(F19="X",60*0.05,"")</f>
        <v/>
      </c>
      <c r="H19" s="22" t="str">
        <f t="shared" si="14"/>
        <v/>
      </c>
      <c r="I19" s="22" t="str">
        <f t="shared" si="21" ref="I19">IF(H19="X",30*0.05,"")</f>
        <v/>
      </c>
      <c r="J19" s="22" t="str">
        <f t="shared" si="16"/>
        <v/>
      </c>
      <c r="K19" s="22" t="str">
        <f t="shared" si="17"/>
        <v/>
      </c>
    </row>
    <row r="20" spans="8:8" ht="24.0" outlineLevel="1">
      <c r="A20" s="19"/>
      <c r="B20" s="20" t="str">
        <f>RUBRICA!A13</f>
        <v>9. Utiliza reglas de redacción, ortografía (literal, puntual, acentual) y las normas para citas y referencias. </v>
      </c>
      <c r="C20" s="21" t="s">
        <v>7</v>
      </c>
      <c r="D20" s="22"/>
      <c r="E20" s="22" t="str">
        <f>IF(D20="X",100*0.05,"")</f>
        <v/>
      </c>
      <c r="F20" s="22" t="s">
        <v>95</v>
      </c>
      <c r="G20" s="22">
        <f t="shared" si="9"/>
        <v>3.0</v>
      </c>
      <c r="H20" s="22" t="str">
        <f t="shared" si="14"/>
        <v/>
      </c>
      <c r="I20" s="22" t="str">
        <f t="shared" si="10"/>
        <v/>
      </c>
      <c r="J20" s="22" t="str">
        <f t="shared" si="16"/>
        <v/>
      </c>
      <c r="K20" s="22" t="str">
        <f t="shared" si="17"/>
        <v/>
      </c>
    </row>
    <row r="21" spans="8:8" ht="22.95" outlineLevel="1" customHeight="1">
      <c r="A21" s="19"/>
      <c r="B21" s="20" t="str">
        <f>RUBRICA!A14</f>
        <v>10. Cumple completando el contenido del informe de presentación del proyecto de acuerdo con la plantilla entregada.</v>
      </c>
      <c r="C21" s="21" t="s">
        <v>7</v>
      </c>
      <c r="D21" s="22"/>
      <c r="E21" s="22" t="str">
        <f t="shared" si="8"/>
        <v/>
      </c>
      <c r="F21" s="22" t="s">
        <v>95</v>
      </c>
      <c r="G21" s="22">
        <f t="shared" si="9"/>
        <v>3.0</v>
      </c>
      <c r="H21" s="22" t="str">
        <f t="shared" si="14"/>
        <v/>
      </c>
      <c r="I21" s="22" t="str">
        <f t="shared" si="10"/>
        <v/>
      </c>
      <c r="J21" s="22" t="str">
        <f t="shared" si="16"/>
        <v/>
      </c>
      <c r="K21" s="22" t="str">
        <f t="shared" si="17"/>
        <v/>
      </c>
    </row>
    <row r="22" spans="8:8" ht="36.0" outlineLevel="1">
      <c r="A22" s="19"/>
      <c r="B22" s="20" t="str">
        <f>RUBRICA!A16</f>
        <v>12. Desarrolla un plan de trabajo que permita del logro de los objetivos propuestos del proyecto de _x000D_
acuerdo a los tiempos para su desarrollo</v>
      </c>
      <c r="C22" s="21" t="s">
        <v>7</v>
      </c>
      <c r="D22" s="22" t="s">
        <v>95</v>
      </c>
      <c r="E22" s="22">
        <f>IF(D22="X",100*0.1,"")</f>
        <v>10.0</v>
      </c>
      <c r="F22" s="22" t="str">
        <f t="shared" si="12"/>
        <v/>
      </c>
      <c r="G22" s="22" t="str">
        <f>IF(F22="X",60*0.1,"")</f>
        <v/>
      </c>
      <c r="H22" s="22" t="str">
        <f t="shared" si="14"/>
        <v/>
      </c>
      <c r="I22" s="22" t="str">
        <f>IF(H22="X",30*0.1,"")</f>
        <v/>
      </c>
      <c r="J22" s="22" t="str">
        <f t="shared" si="16"/>
        <v/>
      </c>
      <c r="K22" s="22" t="str">
        <f t="shared" si="17"/>
        <v/>
      </c>
    </row>
    <row r="23" spans="8:8" ht="15.75" outlineLevel="1" customHeight="1">
      <c r="A23" s="17"/>
      <c r="B23" s="23" t="s">
        <v>11</v>
      </c>
      <c r="C23" s="24">
        <f>E23+G23+I23+K23</f>
        <v>66.0</v>
      </c>
      <c r="D23" s="25"/>
      <c r="E23" s="25">
        <f>SUM(E13:E22)</f>
        <v>60.0</v>
      </c>
      <c r="F23" s="25"/>
      <c r="G23" s="25">
        <f>SUM(G13:G22)</f>
        <v>6.0</v>
      </c>
      <c r="H23" s="25"/>
      <c r="I23" s="25">
        <f>SUM(I13:I22)</f>
        <v>0.0</v>
      </c>
      <c r="J23" s="25"/>
      <c r="K23" s="25">
        <f>SUM(K13:K22)</f>
        <v>0.0</v>
      </c>
    </row>
    <row r="24" spans="8:8" ht="15.75" outlineLevel="1" customHeight="1">
      <c r="A24" s="5"/>
      <c r="B24" s="26" t="s">
        <v>12</v>
      </c>
      <c r="C24" s="27">
        <f>VLOOKUP(C23,ESCALA_IEP!A2:B142,2,FALSE)</f>
        <v>6.6</v>
      </c>
    </row>
    <row r="25" spans="8:8" ht="15.75" customHeight="1"/>
    <row r="26" spans="8:8" ht="15.75" customHeight="1"/>
    <row r="27" spans="8:8" ht="15.75" customHeight="1">
      <c r="A27" s="28" t="s">
        <v>13</v>
      </c>
      <c r="B27" s="29" t="s">
        <v>14</v>
      </c>
      <c r="C27" s="30" t="str">
        <f>$B$4</f>
        <v>Joaquin Mendoza </v>
      </c>
      <c r="D27" s="31"/>
      <c r="E27" s="31"/>
      <c r="F27" s="31"/>
      <c r="G27" s="31"/>
      <c r="H27" s="31"/>
      <c r="I27" s="31"/>
      <c r="J27" s="31"/>
      <c r="K27" s="32"/>
    </row>
    <row r="28" spans="8:8" ht="15.75" customHeight="1">
      <c r="A28" s="17"/>
      <c r="B28" s="5"/>
      <c r="C28" s="33"/>
      <c r="D28" s="34"/>
      <c r="E28" s="34"/>
      <c r="F28" s="34"/>
      <c r="G28" s="34"/>
      <c r="H28" s="34"/>
      <c r="I28" s="34"/>
      <c r="J28" s="34"/>
      <c r="K28" s="35"/>
    </row>
    <row r="29" spans="8:8" ht="15.75" customHeight="1">
      <c r="A29" s="17"/>
      <c r="B29" s="12" t="s">
        <v>15</v>
      </c>
      <c r="C29" s="13" t="s">
        <v>4</v>
      </c>
      <c r="D29" s="14" t="s">
        <v>5</v>
      </c>
      <c r="E29" s="15"/>
      <c r="F29" s="15"/>
      <c r="G29" s="15"/>
      <c r="H29" s="15"/>
      <c r="I29" s="15"/>
      <c r="J29" s="15"/>
      <c r="K29" s="16"/>
    </row>
    <row r="30" spans="8:8" ht="15.75" customHeight="1">
      <c r="A30" s="17"/>
      <c r="B30" s="36" t="s">
        <v>6</v>
      </c>
      <c r="C30" s="5"/>
      <c r="D30" s="14" t="s">
        <v>7</v>
      </c>
      <c r="E30" s="16"/>
      <c r="F30" s="14" t="s">
        <v>8</v>
      </c>
      <c r="G30" s="16"/>
      <c r="H30" s="14" t="s">
        <v>16</v>
      </c>
      <c r="I30" s="16"/>
      <c r="J30" s="14" t="s">
        <v>10</v>
      </c>
      <c r="K30" s="16"/>
    </row>
    <row r="31" spans="8:8" ht="24.6" customHeight="1">
      <c r="A31" s="17"/>
      <c r="B31" s="20" t="str">
        <f>RUBRICA!A7</f>
        <v>3. Relaciona el Proyecto APT con sus intereses profesionales. *</v>
      </c>
      <c r="C31" s="21" t="s">
        <v>7</v>
      </c>
      <c r="D31" s="22" t="str">
        <f t="shared" si="22" ref="D31:D32">IF($C31=CL,"X","")</f>
        <v>X</v>
      </c>
      <c r="E31" s="22">
        <f>IF(D31="X",100*0.1,"")</f>
        <v>10.0</v>
      </c>
      <c r="F31" s="22" t="str">
        <f t="shared" si="23" ref="F31:F32">IF($C31=L,"X","")</f>
        <v/>
      </c>
      <c r="G31" s="22" t="str">
        <f>IF(F31="X",60*0.1,"")</f>
        <v/>
      </c>
      <c r="H31" s="22" t="str">
        <f t="shared" si="24" ref="H31:H32">IF($C31=ML,"X","")</f>
        <v/>
      </c>
      <c r="I31" s="22" t="str">
        <f>IF(H31="X",30*0.1,"")</f>
        <v/>
      </c>
      <c r="J31" s="22" t="str">
        <f t="shared" si="25" ref="J31:J32">IF($C31=NL,"X","")</f>
        <v/>
      </c>
      <c r="K31" s="22" t="str">
        <f t="shared" si="26" ref="K31:K32">IF($J31="X",0,"")</f>
        <v/>
      </c>
    </row>
    <row r="32" spans="8:8" ht="25.95" customHeight="1">
      <c r="A32" s="17"/>
      <c r="B32" s="20" t="str">
        <f>RUBRICA!A15</f>
        <v>11. Expone el tema utilizando un lenguaje técnico disciplinar al presentar la propuesta y responde evidenciando un manejo de la información. *</v>
      </c>
      <c r="C32" s="21" t="s">
        <v>7</v>
      </c>
      <c r="D32" s="22" t="str">
        <f t="shared" si="22"/>
        <v>X</v>
      </c>
      <c r="E32" s="22">
        <f>IF(D32="X",100*0.1,"")</f>
        <v>10.0</v>
      </c>
      <c r="F32" s="22" t="str">
        <f t="shared" si="23"/>
        <v/>
      </c>
      <c r="G32" s="22" t="str">
        <f>IF(F32="X",60*0.1,"")</f>
        <v/>
      </c>
      <c r="H32" s="22" t="str">
        <f t="shared" si="24"/>
        <v/>
      </c>
      <c r="I32" s="22" t="str">
        <f>IF(H32="X",30*0.1,"")</f>
        <v/>
      </c>
      <c r="J32" s="22" t="str">
        <f t="shared" si="25"/>
        <v/>
      </c>
      <c r="K32" s="22" t="str">
        <f t="shared" si="26"/>
        <v/>
      </c>
    </row>
    <row r="33" spans="8:8" ht="14.4">
      <c r="A33" s="17"/>
      <c r="B33" s="20" t="str">
        <f>RUBRICA!A17</f>
        <v>13. Colaboración y trabajo en equipo *</v>
      </c>
      <c r="C33" s="21" t="s">
        <v>7</v>
      </c>
      <c r="D33" s="22" t="str">
        <f>IF($C33=CL,"X","")</f>
        <v>X</v>
      </c>
      <c r="E33" s="22">
        <f>IF(D33="X",100*0.1,"")</f>
        <v>10.0</v>
      </c>
      <c r="F33" s="22" t="str">
        <f>IF($C33=L,"X","")</f>
        <v/>
      </c>
      <c r="G33" s="22" t="str">
        <f>IF(F33="X",60*0.1,"")</f>
        <v/>
      </c>
      <c r="H33" s="22" t="str">
        <f>IF($C33=ML,"X","")</f>
        <v/>
      </c>
      <c r="I33" s="22" t="str">
        <f>IF(H33="X",30*0.1,"")</f>
        <v/>
      </c>
      <c r="J33" s="22" t="str">
        <f>IF($C33=NL,"X","")</f>
        <v/>
      </c>
      <c r="K33" s="22" t="str">
        <f>IF($J33="X",0,"")</f>
        <v/>
      </c>
    </row>
    <row r="34" spans="8:8" ht="15.75" customHeight="1">
      <c r="A34" s="17"/>
      <c r="B34" s="37" t="s">
        <v>17</v>
      </c>
      <c r="C34" s="38">
        <f>E34+G34+I34+K34</f>
        <v>30.0</v>
      </c>
      <c r="D34" s="25"/>
      <c r="E34" s="25">
        <f>SUM(E31:E33)</f>
        <v>30.0</v>
      </c>
      <c r="F34" s="25"/>
      <c r="G34" s="25">
        <f t="shared" si="27" ref="G34:K34">SUM(G31:G33)</f>
        <v>0.0</v>
      </c>
      <c r="H34" s="25"/>
      <c r="I34" s="25">
        <f t="shared" si="27"/>
        <v>0.0</v>
      </c>
      <c r="J34" s="25"/>
      <c r="K34" s="25">
        <f t="shared" si="27"/>
        <v>0.0</v>
      </c>
    </row>
    <row r="35" spans="8:8" ht="15.75" customHeight="1">
      <c r="A35" s="5"/>
      <c r="B35" s="39" t="s">
        <v>12</v>
      </c>
      <c r="C35" s="27">
        <f>VLOOKUP(C34,ESCALA_TRAB_EQUIP!A2:B62,2,FALSE)</f>
        <v>7.0</v>
      </c>
    </row>
    <row r="36" spans="8:8" ht="15.75" customHeight="1">
      <c r="B36" s="40"/>
      <c r="C36" s="41"/>
    </row>
    <row r="37" spans="8:8" ht="15.75" customHeight="1">
      <c r="B37" s="40"/>
      <c r="C37" s="41"/>
    </row>
    <row r="38" spans="8:8" ht="15.75" customHeight="1"/>
    <row r="39" spans="8:8" ht="15.75" customHeight="1">
      <c r="A39" s="28" t="s">
        <v>13</v>
      </c>
      <c r="B39" s="29" t="s">
        <v>14</v>
      </c>
      <c r="C39" s="30" t="str">
        <f>B5</f>
        <v>Diego Jimenez </v>
      </c>
      <c r="D39" s="31"/>
      <c r="E39" s="31"/>
      <c r="F39" s="31"/>
      <c r="G39" s="31"/>
      <c r="H39" s="31"/>
      <c r="I39" s="31"/>
      <c r="J39" s="31"/>
      <c r="K39" s="32"/>
    </row>
    <row r="40" spans="8:8" ht="15.75" customHeight="1">
      <c r="A40" s="17"/>
      <c r="B40" s="5"/>
      <c r="C40" s="33"/>
      <c r="D40" s="34"/>
      <c r="E40" s="34"/>
      <c r="F40" s="34"/>
      <c r="G40" s="34"/>
      <c r="H40" s="34"/>
      <c r="I40" s="34"/>
      <c r="J40" s="34"/>
      <c r="K40" s="35"/>
    </row>
    <row r="41" spans="8:8" ht="15.75" customHeight="1">
      <c r="A41" s="17"/>
      <c r="B41" s="12" t="s">
        <v>15</v>
      </c>
      <c r="C41" s="13" t="s">
        <v>4</v>
      </c>
      <c r="D41" s="14" t="s">
        <v>5</v>
      </c>
      <c r="E41" s="15"/>
      <c r="F41" s="15"/>
      <c r="G41" s="15"/>
      <c r="H41" s="15"/>
      <c r="I41" s="15"/>
      <c r="J41" s="15"/>
      <c r="K41" s="16"/>
    </row>
    <row r="42" spans="8:8" ht="15.75" customHeight="1">
      <c r="A42" s="17"/>
      <c r="B42" s="36" t="s">
        <v>6</v>
      </c>
      <c r="C42" s="5"/>
      <c r="D42" s="14" t="s">
        <v>7</v>
      </c>
      <c r="E42" s="16"/>
      <c r="F42" s="14" t="s">
        <v>8</v>
      </c>
      <c r="G42" s="16"/>
      <c r="H42" s="14" t="s">
        <v>16</v>
      </c>
      <c r="I42" s="16"/>
      <c r="J42" s="14" t="s">
        <v>10</v>
      </c>
      <c r="K42" s="16"/>
    </row>
    <row r="43" spans="8:8" ht="25.95" customHeight="1">
      <c r="A43" s="17"/>
      <c r="B43" s="20" t="str">
        <f>RUBRICA!A7</f>
        <v>3. Relaciona el Proyecto APT con sus intereses profesionales. *</v>
      </c>
      <c r="C43" s="21" t="s">
        <v>7</v>
      </c>
      <c r="D43" s="22" t="str">
        <f t="shared" si="28" ref="D43:D44">IF($C43=CL,"X","")</f>
        <v>X</v>
      </c>
      <c r="E43" s="22">
        <f>IF(D43="X",100*0.1,"")</f>
        <v>10.0</v>
      </c>
      <c r="F43" s="22" t="str">
        <f t="shared" si="29" ref="F43:F44">IF($C43=L,"X","")</f>
        <v/>
      </c>
      <c r="G43" s="22" t="str">
        <f>IF(F43="X",60*0.1,"")</f>
        <v/>
      </c>
      <c r="H43" s="22" t="str">
        <f t="shared" si="30" ref="H43:H44">IF($C43=ML,"X","")</f>
        <v/>
      </c>
      <c r="I43" s="22" t="str">
        <f>IF(H43="X",30*0.1,"")</f>
        <v/>
      </c>
      <c r="J43" s="22" t="str">
        <f t="shared" si="31" ref="J43:J44">IF($C43=NL,"X","")</f>
        <v/>
      </c>
      <c r="K43" s="22" t="str">
        <f t="shared" si="32" ref="K43:K44">IF($J43="X",0,"")</f>
        <v/>
      </c>
    </row>
    <row r="44" spans="8:8" ht="24.0">
      <c r="A44" s="17"/>
      <c r="B44" s="20" t="str">
        <f>RUBRICA!A15</f>
        <v>11. Expone el tema utilizando un lenguaje técnico disciplinar al presentar la propuesta y responde evidenciando un manejo de la información. *</v>
      </c>
      <c r="C44" s="21" t="s">
        <v>7</v>
      </c>
      <c r="D44" s="22" t="str">
        <f t="shared" si="28"/>
        <v>X</v>
      </c>
      <c r="E44" s="22">
        <f>IF(D44="X",100*0.1,"")</f>
        <v>10.0</v>
      </c>
      <c r="F44" s="22" t="str">
        <f t="shared" si="29"/>
        <v/>
      </c>
      <c r="G44" s="22" t="str">
        <f>IF(F44="X",60*0.1,"")</f>
        <v/>
      </c>
      <c r="H44" s="22" t="str">
        <f t="shared" si="30"/>
        <v/>
      </c>
      <c r="I44" s="22" t="str">
        <f>IF(H44="X",30*0.1,"")</f>
        <v/>
      </c>
      <c r="J44" s="22" t="str">
        <f t="shared" si="31"/>
        <v/>
      </c>
      <c r="K44" s="22" t="str">
        <f t="shared" si="32"/>
        <v/>
      </c>
    </row>
    <row r="45" spans="8:8" ht="15.75" customHeight="1">
      <c r="A45" s="17"/>
      <c r="B45" s="20" t="str">
        <f>RUBRICA!A17</f>
        <v>13. Colaboración y trabajo en equipo *</v>
      </c>
      <c r="C45" s="21" t="s">
        <v>7</v>
      </c>
      <c r="D45" s="22" t="str">
        <f>IF($C45=CL,"X","")</f>
        <v>X</v>
      </c>
      <c r="E45" s="22">
        <f>IF(D45="X",100*0.1,"")</f>
        <v>10.0</v>
      </c>
      <c r="F45" s="22" t="str">
        <f>IF($C45=L,"X","")</f>
        <v/>
      </c>
      <c r="G45" s="22" t="str">
        <f>IF(F45="X",60*0.1,"")</f>
        <v/>
      </c>
      <c r="H45" s="22" t="str">
        <f>IF($C45=ML,"X","")</f>
        <v/>
      </c>
      <c r="I45" s="22" t="str">
        <f>IF(H45="X",30*0.1,"")</f>
        <v/>
      </c>
      <c r="J45" s="22" t="str">
        <f>IF($C45=NL,"X","")</f>
        <v/>
      </c>
      <c r="K45" s="22" t="str">
        <f>IF($J45="X",0,"")</f>
        <v/>
      </c>
    </row>
    <row r="46" spans="8:8" ht="15.75" customHeight="1">
      <c r="A46" s="17"/>
      <c r="B46" s="37" t="s">
        <v>17</v>
      </c>
      <c r="C46" s="38">
        <f>E46+G46+I46+K46</f>
        <v>30.0</v>
      </c>
      <c r="D46" s="25"/>
      <c r="E46" s="25">
        <f>SUM(E43:E45)</f>
        <v>30.0</v>
      </c>
      <c r="F46" s="25"/>
      <c r="G46" s="25">
        <f t="shared" si="33" ref="G46">SUM(G43:G45)</f>
        <v>0.0</v>
      </c>
      <c r="H46" s="25"/>
      <c r="I46" s="25">
        <f t="shared" si="34" ref="I46">SUM(I43:I45)</f>
        <v>0.0</v>
      </c>
      <c r="J46" s="25"/>
      <c r="K46" s="25">
        <f t="shared" si="35" ref="K46">SUM(K43:K45)</f>
        <v>0.0</v>
      </c>
    </row>
    <row r="47" spans="8:8" ht="15.75" customHeight="1">
      <c r="A47" s="5"/>
      <c r="B47" s="39" t="s">
        <v>12</v>
      </c>
      <c r="C47" s="27">
        <f>VLOOKUP(C46,ESCALA_TRAB_EQUIP!A2:B62,2,FALSE)</f>
        <v>7.0</v>
      </c>
    </row>
    <row r="48" spans="8:8" ht="15.75" customHeight="1">
      <c r="B48" s="40"/>
      <c r="C48" s="41"/>
    </row>
    <row r="49" spans="8:8" ht="15.75" customHeight="1">
      <c r="B49" s="40"/>
      <c r="C49" s="41"/>
    </row>
    <row r="50" spans="8:8" ht="15.75" customHeight="1">
      <c r="A50" s="28" t="s">
        <v>13</v>
      </c>
      <c r="B50" s="29" t="s">
        <v>14</v>
      </c>
      <c r="C50" s="30" t="str">
        <f>B6</f>
        <v>Alexandre Saez </v>
      </c>
      <c r="D50" s="31"/>
      <c r="E50" s="31"/>
      <c r="F50" s="31"/>
      <c r="G50" s="31"/>
      <c r="H50" s="31"/>
      <c r="I50" s="31"/>
      <c r="J50" s="31"/>
      <c r="K50" s="32"/>
    </row>
    <row r="51" spans="8:8" ht="15.75" customHeight="1">
      <c r="A51" s="17"/>
      <c r="B51" s="5"/>
      <c r="C51" s="33"/>
      <c r="D51" s="34"/>
      <c r="E51" s="34"/>
      <c r="F51" s="34"/>
      <c r="G51" s="34"/>
      <c r="H51" s="34"/>
      <c r="I51" s="34"/>
      <c r="J51" s="34"/>
      <c r="K51" s="35"/>
    </row>
    <row r="52" spans="8:8" ht="15.75" customHeight="1">
      <c r="A52" s="17"/>
      <c r="B52" s="12" t="s">
        <v>15</v>
      </c>
      <c r="C52" s="13" t="s">
        <v>4</v>
      </c>
      <c r="D52" s="14" t="s">
        <v>5</v>
      </c>
      <c r="E52" s="15"/>
      <c r="F52" s="15"/>
      <c r="G52" s="15"/>
      <c r="H52" s="15"/>
      <c r="I52" s="15"/>
      <c r="J52" s="15"/>
      <c r="K52" s="16"/>
    </row>
    <row r="53" spans="8:8" ht="15.75" customHeight="1">
      <c r="A53" s="17"/>
      <c r="B53" s="36" t="s">
        <v>6</v>
      </c>
      <c r="C53" s="5"/>
      <c r="D53" s="14" t="s">
        <v>7</v>
      </c>
      <c r="E53" s="16"/>
      <c r="F53" s="14" t="s">
        <v>8</v>
      </c>
      <c r="G53" s="16"/>
      <c r="H53" s="14" t="s">
        <v>16</v>
      </c>
      <c r="I53" s="16"/>
      <c r="J53" s="14" t="s">
        <v>10</v>
      </c>
      <c r="K53" s="16"/>
    </row>
    <row r="54" spans="8:8" ht="25.95" customHeight="1">
      <c r="A54" s="17"/>
      <c r="B54" s="20" t="str">
        <f>RUBRICA!A7</f>
        <v>3. Relaciona el Proyecto APT con sus intereses profesionales. *</v>
      </c>
      <c r="C54" s="21" t="s">
        <v>7</v>
      </c>
      <c r="D54" s="22" t="str">
        <f t="shared" si="36" ref="D54:D55">IF($C54=CL,"X","")</f>
        <v>X</v>
      </c>
      <c r="E54" s="22">
        <f>IF(D54="X",100*0.1,"")</f>
        <v>10.0</v>
      </c>
      <c r="F54" s="22" t="str">
        <f t="shared" si="37" ref="F54:F55">IF($C54=L,"X","")</f>
        <v/>
      </c>
      <c r="G54" s="22" t="str">
        <f>IF(F54="X",60*0.1,"")</f>
        <v/>
      </c>
      <c r="H54" s="22" t="str">
        <f t="shared" si="38" ref="H54:H55">IF($C54=ML,"X","")</f>
        <v/>
      </c>
      <c r="I54" s="22" t="str">
        <f>IF(H54="X",30*0.1,"")</f>
        <v/>
      </c>
      <c r="J54" s="22" t="str">
        <f t="shared" si="39" ref="J54:J55">IF($C54=NL,"X","")</f>
        <v/>
      </c>
      <c r="K54" s="22" t="str">
        <f t="shared" si="40" ref="K54:K55">IF($J54="X",0,"")</f>
        <v/>
      </c>
    </row>
    <row r="55" spans="8:8" ht="24.0">
      <c r="A55" s="17"/>
      <c r="B55" s="20" t="str">
        <f>RUBRICA!A15</f>
        <v>11. Expone el tema utilizando un lenguaje técnico disciplinar al presentar la propuesta y responde evidenciando un manejo de la información. *</v>
      </c>
      <c r="C55" s="21" t="s">
        <v>7</v>
      </c>
      <c r="D55" s="22" t="str">
        <f t="shared" si="36"/>
        <v>X</v>
      </c>
      <c r="E55" s="22">
        <f>IF(D55="X",100*0.1,"")</f>
        <v>10.0</v>
      </c>
      <c r="F55" s="22" t="str">
        <f t="shared" si="37"/>
        <v/>
      </c>
      <c r="G55" s="22" t="str">
        <f>IF(F55="X",60*0.1,"")</f>
        <v/>
      </c>
      <c r="H55" s="22" t="str">
        <f t="shared" si="38"/>
        <v/>
      </c>
      <c r="I55" s="22" t="str">
        <f>IF(H55="X",30*0.1,"")</f>
        <v/>
      </c>
      <c r="J55" s="22" t="str">
        <f t="shared" si="39"/>
        <v/>
      </c>
      <c r="K55" s="22" t="str">
        <f t="shared" si="40"/>
        <v/>
      </c>
    </row>
    <row r="56" spans="8:8" ht="15.75" customHeight="1">
      <c r="A56" s="17"/>
      <c r="B56" s="20" t="str">
        <f>RUBRICA!A17</f>
        <v>13. Colaboración y trabajo en equipo *</v>
      </c>
      <c r="C56" s="21" t="s">
        <v>7</v>
      </c>
      <c r="D56" s="22" t="str">
        <f>IF($C56=CL,"X","")</f>
        <v>X</v>
      </c>
      <c r="E56" s="22">
        <f>IF(D56="X",100*0.1,"")</f>
        <v>10.0</v>
      </c>
      <c r="F56" s="22" t="str">
        <f>IF($C56=L,"X","")</f>
        <v/>
      </c>
      <c r="G56" s="22" t="str">
        <f>IF(F56="X",60*0.1,"")</f>
        <v/>
      </c>
      <c r="H56" s="22" t="str">
        <f>IF($C56=ML,"X","")</f>
        <v/>
      </c>
      <c r="I56" s="22" t="str">
        <f>IF(H56="X",30*0.1,"")</f>
        <v/>
      </c>
      <c r="J56" s="22" t="str">
        <f>IF($C56=NL,"X","")</f>
        <v/>
      </c>
      <c r="K56" s="22" t="str">
        <f>IF($J56="X",0,"")</f>
        <v/>
      </c>
    </row>
    <row r="57" spans="8:8" ht="15.75" customHeight="1">
      <c r="A57" s="17"/>
      <c r="B57" s="37" t="s">
        <v>17</v>
      </c>
      <c r="C57" s="38">
        <f>E57+G57+I57+K57</f>
        <v>30.0</v>
      </c>
      <c r="D57" s="25">
        <f>COUNTIF(D55:D56,"X")</f>
        <v>2.0</v>
      </c>
      <c r="E57" s="25">
        <f>SUM(E54:E56)</f>
        <v>30.0</v>
      </c>
      <c r="F57" s="25">
        <f t="shared" si="41" ref="F57">SUM(F54:F56)</f>
        <v>0.0</v>
      </c>
      <c r="G57" s="25">
        <f t="shared" si="42" ref="G57">SUM(G54:G56)</f>
        <v>0.0</v>
      </c>
      <c r="H57" s="25">
        <f t="shared" si="43" ref="H57">SUM(H54:H56)</f>
        <v>0.0</v>
      </c>
      <c r="I57" s="25">
        <f t="shared" si="44" ref="I57">SUM(I54:I56)</f>
        <v>0.0</v>
      </c>
      <c r="J57" s="25">
        <f t="shared" si="45" ref="J57">SUM(J54:J56)</f>
        <v>0.0</v>
      </c>
      <c r="K57" s="25">
        <f t="shared" si="46" ref="K57">SUM(K54:K56)</f>
        <v>0.0</v>
      </c>
    </row>
    <row r="58" spans="8:8" ht="15.75" customHeight="1">
      <c r="A58" s="5"/>
      <c r="B58" s="39" t="s">
        <v>12</v>
      </c>
      <c r="C58" s="27">
        <f>VLOOKUP(C57,ESCALA_TRAB_EQUIP!A2:B62,2,FALSE)</f>
        <v>7.0</v>
      </c>
    </row>
    <row r="59" spans="8:8" ht="15.75" customHeight="1">
      <c r="B59" s="40"/>
      <c r="C59" s="41"/>
    </row>
    <row r="60" spans="8:8" ht="15.75" customHeight="1"/>
    <row r="61" spans="8:8" ht="15.75" customHeight="1"/>
    <row r="62" spans="8:8" ht="15.75" customHeight="1"/>
    <row r="63" spans="8:8" ht="15.75" customHeight="1"/>
    <row r="64" spans="8:8" ht="15.75" customHeight="1"/>
    <row r="65" spans="8:8" ht="15.75" customHeight="1"/>
    <row r="66" spans="8:8" ht="15.75" customHeight="1"/>
    <row r="67" spans="8:8" ht="15.75" customHeight="1"/>
    <row r="68" spans="8:8" ht="15.75" customHeight="1"/>
    <row r="69" spans="8:8" ht="15.75" customHeight="1"/>
    <row r="70" spans="8:8" ht="15.75" customHeight="1"/>
    <row r="71" spans="8:8" ht="15.75" customHeight="1"/>
    <row r="72" spans="8:8" ht="15.75" customHeight="1"/>
    <row r="73" spans="8:8" ht="15.75" customHeight="1"/>
    <row r="74" spans="8:8" ht="15.75" customHeight="1"/>
    <row r="75" spans="8:8" ht="15.75" customHeight="1"/>
    <row r="76" spans="8:8" ht="15.75" customHeight="1"/>
    <row r="77" spans="8:8" ht="15.75" customHeight="1"/>
    <row r="78" spans="8:8" ht="15.75" customHeight="1"/>
    <row r="79" spans="8:8" ht="15.75" customHeight="1"/>
    <row r="80" spans="8:8" ht="15.75" customHeight="1"/>
    <row r="81" spans="8:8" ht="15.75" customHeight="1"/>
    <row r="82" spans="8:8" ht="15.75" customHeight="1"/>
    <row r="83" spans="8:8" ht="15.75" customHeight="1"/>
    <row r="84" spans="8:8" ht="15.75" customHeight="1"/>
    <row r="85" spans="8:8" ht="15.75" customHeight="1"/>
    <row r="86" spans="8:8" ht="15.75" customHeight="1"/>
    <row r="87" spans="8:8" ht="15.75" customHeight="1"/>
    <row r="88" spans="8:8" ht="15.75" customHeight="1"/>
    <row r="89" spans="8:8" ht="15.75" customHeight="1"/>
    <row r="90" spans="8:8" ht="15.75" customHeight="1"/>
    <row r="91" spans="8:8" ht="15.75" customHeight="1"/>
    <row r="92" spans="8:8" ht="15.75" customHeight="1"/>
    <row r="93" spans="8:8" ht="15.75" customHeight="1"/>
    <row r="94" spans="8:8" ht="15.75" customHeight="1"/>
    <row r="95" spans="8:8" ht="15.75" customHeight="1"/>
    <row r="96" spans="8:8" ht="15.75" customHeight="1"/>
    <row r="97" spans="8:8" ht="15.75" customHeight="1"/>
    <row r="98" spans="8:8" ht="15.75" customHeight="1"/>
    <row r="99" spans="8:8" ht="15.75" customHeight="1"/>
    <row r="100" spans="8:8" ht="15.75" customHeight="1"/>
    <row r="101" spans="8:8" ht="15.75" customHeight="1"/>
    <row r="102" spans="8:8" ht="15.75" customHeight="1"/>
    <row r="103" spans="8:8" ht="15.75" customHeight="1"/>
    <row r="104" spans="8:8" ht="15.75" customHeight="1"/>
    <row r="105" spans="8:8" ht="15.75" customHeight="1"/>
    <row r="106" spans="8:8" ht="15.75" customHeight="1"/>
    <row r="107" spans="8:8" ht="15.75" customHeight="1"/>
    <row r="108" spans="8:8" ht="15.75" customHeight="1"/>
    <row r="109" spans="8:8" ht="15.75" customHeight="1"/>
    <row r="110" spans="8:8" ht="15.75" customHeight="1"/>
    <row r="111" spans="8:8" ht="15.75" customHeight="1"/>
    <row r="112" spans="8:8" ht="15.75" customHeight="1"/>
    <row r="113" spans="8:8" ht="15.75" customHeight="1"/>
    <row r="114" spans="8:8" ht="15.75" customHeight="1"/>
    <row r="115" spans="8:8" ht="15.75" customHeight="1"/>
    <row r="116" spans="8:8" ht="15.75" customHeight="1"/>
    <row r="117" spans="8:8" ht="15.75" customHeight="1"/>
    <row r="118" spans="8:8" ht="15.75" customHeight="1"/>
    <row r="119" spans="8:8" ht="15.75" customHeight="1"/>
    <row r="120" spans="8:8" ht="15.75" customHeight="1"/>
    <row r="121" spans="8:8" ht="15.75" customHeight="1"/>
    <row r="122" spans="8:8" ht="15.75" customHeight="1"/>
    <row r="123" spans="8:8" ht="15.75" customHeight="1"/>
    <row r="124" spans="8:8" ht="15.75" customHeight="1"/>
    <row r="125" spans="8:8" ht="15.75" customHeight="1"/>
    <row r="126" spans="8:8" ht="15.75" customHeight="1"/>
    <row r="127" spans="8:8" ht="15.75" customHeight="1"/>
    <row r="128" spans="8:8" ht="15.75" customHeight="1"/>
    <row r="129" spans="8:8" ht="15.75" customHeight="1"/>
    <row r="130" spans="8:8" ht="15.75" customHeight="1"/>
    <row r="131" spans="8:8" ht="15.75" customHeight="1"/>
    <row r="132" spans="8:8" ht="15.75" customHeight="1"/>
    <row r="133" spans="8:8" ht="15.75" customHeight="1"/>
    <row r="134" spans="8:8" ht="15.75" customHeight="1"/>
    <row r="135" spans="8:8" ht="15.75" customHeight="1"/>
    <row r="136" spans="8:8" ht="15.75" customHeight="1"/>
    <row r="137" spans="8:8" ht="15.75" customHeight="1"/>
    <row r="138" spans="8:8" ht="15.75" customHeight="1"/>
    <row r="139" spans="8:8" ht="15.75" customHeight="1"/>
    <row r="140" spans="8:8" ht="15.75" customHeight="1"/>
    <row r="141" spans="8:8" ht="15.75" customHeight="1"/>
    <row r="142" spans="8:8" ht="15.75" customHeight="1"/>
    <row r="143" spans="8:8" ht="15.75" customHeight="1"/>
    <row r="144" spans="8:8" ht="15.75" customHeight="1"/>
    <row r="145" spans="8:8" ht="15.75" customHeight="1"/>
    <row r="146" spans="8:8" ht="15.75" customHeight="1"/>
    <row r="147" spans="8:8" ht="15.75" customHeight="1"/>
    <row r="148" spans="8:8" ht="15.75" customHeight="1"/>
    <row r="149" spans="8:8" ht="15.75" customHeight="1"/>
    <row r="150" spans="8:8" ht="15.75" customHeight="1"/>
    <row r="151" spans="8:8" ht="15.75" customHeight="1"/>
    <row r="152" spans="8:8" ht="15.75" customHeight="1"/>
    <row r="153" spans="8:8" ht="15.75" customHeight="1"/>
    <row r="154" spans="8:8" ht="15.75" customHeight="1"/>
    <row r="155" spans="8:8" ht="15.75" customHeight="1"/>
    <row r="156" spans="8:8" ht="15.75" customHeight="1"/>
    <row r="157" spans="8:8" ht="15.75" customHeight="1"/>
    <row r="158" spans="8:8" ht="15.75" customHeight="1"/>
    <row r="159" spans="8:8" ht="15.75" customHeight="1"/>
    <row r="160" spans="8:8" ht="15.75" customHeight="1"/>
    <row r="161" spans="8:8" ht="15.75" customHeight="1"/>
    <row r="162" spans="8:8" ht="15.75" customHeight="1"/>
    <row r="163" spans="8:8" ht="15.75" customHeight="1"/>
    <row r="164" spans="8:8" ht="15.75" customHeight="1"/>
    <row r="165" spans="8:8" ht="15.75" customHeight="1"/>
    <row r="166" spans="8:8" ht="15.75" customHeight="1"/>
    <row r="167" spans="8:8" ht="15.75" customHeight="1"/>
    <row r="168" spans="8:8" ht="15.75" customHeight="1"/>
    <row r="169" spans="8:8" ht="15.75" customHeight="1"/>
    <row r="170" spans="8:8" ht="15.75" customHeight="1"/>
    <row r="171" spans="8:8" ht="15.75" customHeight="1"/>
    <row r="172" spans="8:8" ht="15.75" customHeight="1"/>
    <row r="173" spans="8:8" ht="15.75" customHeight="1"/>
    <row r="174" spans="8:8" ht="15.75" customHeight="1"/>
    <row r="175" spans="8:8" ht="15.75" customHeight="1"/>
    <row r="176" spans="8:8" ht="15.75" customHeight="1"/>
    <row r="177" spans="8:8" ht="15.75" customHeight="1"/>
    <row r="178" spans="8:8" ht="15.75" customHeight="1"/>
    <row r="179" spans="8:8" ht="15.75" customHeight="1"/>
    <row r="180" spans="8:8" ht="15.75" customHeight="1"/>
    <row r="181" spans="8:8" ht="15.75" customHeight="1"/>
    <row r="182" spans="8:8" ht="15.75" customHeight="1"/>
    <row r="183" spans="8:8" ht="15.75" customHeight="1"/>
    <row r="184" spans="8:8" ht="15.75" customHeight="1"/>
    <row r="185" spans="8:8" ht="15.75" customHeight="1"/>
    <row r="186" spans="8:8" ht="15.75" customHeight="1"/>
    <row r="187" spans="8:8" ht="15.75" customHeight="1"/>
    <row r="188" spans="8:8" ht="15.75" customHeight="1"/>
    <row r="189" spans="8:8" ht="15.75" customHeight="1"/>
    <row r="190" spans="8:8" ht="15.75" customHeight="1"/>
    <row r="191" spans="8:8" ht="15.75" customHeight="1"/>
    <row r="192" spans="8:8" ht="15.75" customHeight="1"/>
    <row r="193" spans="8:8" ht="15.75" customHeight="1"/>
    <row r="194" spans="8:8" ht="15.75" customHeight="1"/>
    <row r="195" spans="8:8" ht="15.75" customHeight="1"/>
    <row r="196" spans="8:8" ht="15.75" customHeight="1"/>
    <row r="197" spans="8:8" ht="15.75" customHeight="1"/>
    <row r="198" spans="8:8" ht="15.75" customHeight="1"/>
    <row r="199" spans="8:8" ht="15.75" customHeight="1"/>
    <row r="200" spans="8:8" ht="15.75" customHeight="1"/>
    <row r="201" spans="8:8" ht="15.75" customHeight="1"/>
    <row r="202" spans="8:8" ht="15.75" customHeight="1"/>
    <row r="203" spans="8:8" ht="15.75" customHeight="1"/>
    <row r="204" spans="8:8" ht="15.75" customHeight="1"/>
    <row r="205" spans="8:8" ht="15.75" customHeight="1"/>
    <row r="206" spans="8:8" ht="15.75" customHeight="1"/>
    <row r="207" spans="8:8" ht="15.75" customHeight="1"/>
    <row r="208" spans="8:8" ht="15.75" customHeight="1"/>
    <row r="209" spans="8:8" ht="15.75" customHeight="1"/>
    <row r="210" spans="8:8" ht="15.75" customHeight="1"/>
    <row r="211" spans="8:8" ht="15.75" customHeight="1"/>
    <row r="212" spans="8:8" ht="15.75" customHeight="1"/>
    <row r="213" spans="8:8" ht="15.75" customHeight="1"/>
    <row r="214" spans="8:8" ht="15.75" customHeight="1"/>
    <row r="215" spans="8:8" ht="15.75" customHeight="1"/>
    <row r="216" spans="8:8" ht="15.75" customHeight="1"/>
    <row r="217" spans="8:8" ht="15.75" customHeight="1"/>
    <row r="218" spans="8:8" ht="15.75" customHeight="1"/>
    <row r="219" spans="8:8" ht="15.75" customHeight="1"/>
    <row r="220" spans="8:8" ht="15.7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sheetData>
  <mergeCells count="35">
    <mergeCell ref="C29:C30"/>
    <mergeCell ref="J42:K42"/>
    <mergeCell ref="D53:E53"/>
    <mergeCell ref="B50:B51"/>
    <mergeCell ref="A39:A47"/>
    <mergeCell ref="A27:A35"/>
    <mergeCell ref="E2:E3"/>
    <mergeCell ref="C11:C12"/>
    <mergeCell ref="D12:E12"/>
    <mergeCell ref="A11:A24"/>
    <mergeCell ref="A50:A58"/>
    <mergeCell ref="D11:K11"/>
    <mergeCell ref="C41:C42"/>
    <mergeCell ref="F12:G12"/>
    <mergeCell ref="H12:I12"/>
    <mergeCell ref="J12:K12"/>
    <mergeCell ref="B27:B28"/>
    <mergeCell ref="D41:K41"/>
    <mergeCell ref="D42:E42"/>
    <mergeCell ref="C39:K40"/>
    <mergeCell ref="H42:I42"/>
    <mergeCell ref="C27:K28"/>
    <mergeCell ref="F42:G42"/>
    <mergeCell ref="B39:B40"/>
    <mergeCell ref="D29:K29"/>
    <mergeCell ref="H53:I53"/>
    <mergeCell ref="F53:G53"/>
    <mergeCell ref="H30:I30"/>
    <mergeCell ref="F30:G30"/>
    <mergeCell ref="D30:E30"/>
    <mergeCell ref="D52:K52"/>
    <mergeCell ref="J53:K53"/>
    <mergeCell ref="C52:C53"/>
    <mergeCell ref="J30:K30"/>
    <mergeCell ref="C50:K51"/>
  </mergeCells>
  <conditionalFormatting sqref="C4:E6">
    <cfRule type="cellIs" operator="lessThan" priority="2" dxfId="0">
      <formula>1</formula>
    </cfRule>
    <cfRule type="cellIs" operator="lessThan" priority="1" dxfId="1">
      <formula>4</formula>
    </cfRule>
  </conditionalFormatting>
  <dataValidations count="1">
    <dataValidation allowBlank="1" type="decimal" operator="between" errorStyle="stop" showInputMessage="1" prompt="Error de Ingreso - Nota debe estar entre 1,0 y 7,0" showErrorMessage="1" sqref="C4:E6">
      <formula1>1</formula1>
      <formula2>7</formula2>
    </dataValidation>
  </dataValidations>
  <pageMargins left="0.7" right="0.7" top="0.75" bottom="0.75" header="0.0" footer="0.0"/>
  <extLst>
    <ext xmlns:x14="http://schemas.microsoft.com/office/spreadsheetml/2009/9/main" uri="{CCE6A557-97BC-4b89-ADB6-D9C93CAAB3DF}">
      <x14:dataValidations xmlns:xm="http://schemas.microsoft.com/office/excel/2006/main" count="4">
        <x14:dataValidation allowBlank="1" type="list" errorStyle="stop" showErrorMessage="1">
          <x14:formula1>
            <xm:f>'RELEVANCIA-PUNTAJE'!$B$2:$E$2</xm:f>
          </x14:formula1>
          <xm:sqref>C13:C22</xm:sqref>
        </x14:dataValidation>
        <x14:dataValidation allowBlank="1" type="list" errorStyle="stop" showErrorMessage="1">
          <x14:formula1>
            <xm:f>'RELEVANCIA-PUNTAJE'!$B$2:$E$2</xm:f>
          </x14:formula1>
          <xm:sqref>C54:C56</xm:sqref>
        </x14:dataValidation>
        <x14:dataValidation allowBlank="1" type="list" errorStyle="stop" showErrorMessage="1">
          <x14:formula1>
            <xm:f>'RELEVANCIA-PUNTAJE'!$B$2:$E$2</xm:f>
          </x14:formula1>
          <xm:sqref>C43:C45</xm:sqref>
        </x14:dataValidation>
        <x14:dataValidation allowBlank="1" type="list" errorStyle="stop" showErrorMessage="1">
          <x14:formula1>
            <xm:f>'RELEVANCIA-PUNTAJE'!$B$2:$E$2</xm:f>
          </x14:formula1>
          <xm:sqref>C31:C33</xm:sqref>
        </x14:dataValidation>
      </x14:dataValidations>
    </ext>
  </extLst>
</worksheet>
</file>

<file path=xl/worksheets/sheet2.xml><?xml version="1.0" encoding="utf-8"?>
<worksheet xmlns:r="http://schemas.openxmlformats.org/officeDocument/2006/relationships" xmlns="http://schemas.openxmlformats.org/spreadsheetml/2006/main">
  <dimension ref="A1:G18"/>
  <sheetViews>
    <sheetView workbookViewId="0" zoomScale="80">
      <selection activeCell="F19" sqref="F19"/>
    </sheetView>
  </sheetViews>
  <sheetFormatPr defaultRowHeight="14.4" defaultColWidth="11"/>
  <cols>
    <col min="1" max="1" customWidth="1" width="39.441406" style="0"/>
    <col min="2" max="2" customWidth="1" width="40.33203" style="0"/>
    <col min="3" max="3" customWidth="1" width="31.664062" style="0"/>
    <col min="4" max="4" customWidth="1" width="38.664062" style="0"/>
    <col min="5" max="5" customWidth="1" width="38.441406" style="0"/>
  </cols>
  <sheetData>
    <row r="1" spans="8:8" ht="15.0"/>
    <row r="2" spans="8:8" ht="15.0">
      <c r="A2" s="42" t="s">
        <v>18</v>
      </c>
      <c r="B2" s="43" t="s">
        <v>19</v>
      </c>
      <c r="C2" s="44"/>
      <c r="D2" s="44"/>
      <c r="E2" s="45"/>
      <c r="F2" s="42" t="s">
        <v>20</v>
      </c>
    </row>
    <row r="3" spans="8:8">
      <c r="A3" s="46"/>
      <c r="B3" s="47" t="s">
        <v>21</v>
      </c>
      <c r="C3" s="47" t="s">
        <v>22</v>
      </c>
      <c r="D3" s="48" t="s">
        <v>23</v>
      </c>
      <c r="E3" s="49" t="s">
        <v>10</v>
      </c>
      <c r="F3" s="46"/>
    </row>
    <row r="4" spans="8:8" ht="57.6" customHeight="1">
      <c r="A4" s="50"/>
      <c r="B4" s="51"/>
      <c r="C4" s="51"/>
      <c r="D4" s="52">
        <v>-0.3</v>
      </c>
      <c r="E4" s="52">
        <v>0.0</v>
      </c>
      <c r="F4" s="50"/>
    </row>
    <row r="5" spans="8:8" ht="83.4">
      <c r="A5" s="53" t="s">
        <v>24</v>
      </c>
      <c r="B5" s="54" t="s">
        <v>25</v>
      </c>
      <c r="C5" s="54" t="s">
        <v>26</v>
      </c>
      <c r="D5" s="54" t="s">
        <v>27</v>
      </c>
      <c r="E5" s="54" t="s">
        <v>28</v>
      </c>
      <c r="F5" s="55">
        <v>10.0</v>
      </c>
    </row>
    <row r="6" spans="8:8" ht="83.4">
      <c r="A6" s="56" t="s">
        <v>29</v>
      </c>
      <c r="B6" s="56" t="s">
        <v>30</v>
      </c>
      <c r="C6" s="56" t="s">
        <v>31</v>
      </c>
      <c r="D6" s="56" t="s">
        <v>32</v>
      </c>
      <c r="E6" s="57" t="s">
        <v>33</v>
      </c>
      <c r="F6" s="58">
        <v>5.0</v>
      </c>
    </row>
    <row r="7" spans="8:8" ht="94.95" customHeight="1">
      <c r="A7" s="59" t="s">
        <v>34</v>
      </c>
      <c r="B7" s="59" t="s">
        <v>35</v>
      </c>
      <c r="C7" s="59" t="s">
        <v>36</v>
      </c>
      <c r="D7" s="59" t="s">
        <v>37</v>
      </c>
      <c r="E7" s="59" t="s">
        <v>38</v>
      </c>
      <c r="F7" s="60">
        <v>10.0</v>
      </c>
    </row>
    <row r="8" spans="8:8" ht="82.8">
      <c r="A8" s="59" t="s">
        <v>39</v>
      </c>
      <c r="B8" s="59" t="s">
        <v>40</v>
      </c>
      <c r="C8" s="59" t="s">
        <v>41</v>
      </c>
      <c r="D8" s="59" t="s">
        <v>42</v>
      </c>
      <c r="E8" s="59" t="s">
        <v>43</v>
      </c>
      <c r="F8" s="60">
        <v>5.0</v>
      </c>
    </row>
    <row r="9" spans="8:8" ht="65.4" customHeight="1">
      <c r="A9" s="53" t="s">
        <v>44</v>
      </c>
      <c r="B9" s="54" t="s">
        <v>45</v>
      </c>
      <c r="C9" s="54" t="s">
        <v>46</v>
      </c>
      <c r="D9" s="54" t="s">
        <v>47</v>
      </c>
      <c r="E9" s="54" t="s">
        <v>48</v>
      </c>
      <c r="F9" s="55">
        <v>5.0</v>
      </c>
    </row>
    <row r="10" spans="8:8" ht="69.6">
      <c r="A10" s="53" t="s">
        <v>49</v>
      </c>
      <c r="B10" s="54" t="s">
        <v>50</v>
      </c>
      <c r="C10" s="54" t="s">
        <v>51</v>
      </c>
      <c r="D10" s="54" t="s">
        <v>52</v>
      </c>
      <c r="E10" s="54" t="s">
        <v>53</v>
      </c>
      <c r="F10" s="55">
        <v>10.0</v>
      </c>
    </row>
    <row r="11" spans="8:8" ht="82.8">
      <c r="A11" s="56" t="s">
        <v>54</v>
      </c>
      <c r="B11" s="56" t="s">
        <v>55</v>
      </c>
      <c r="C11" s="56" t="s">
        <v>56</v>
      </c>
      <c r="D11" s="56" t="s">
        <v>57</v>
      </c>
      <c r="E11" s="56" t="s">
        <v>58</v>
      </c>
      <c r="F11" s="58">
        <v>10.0</v>
      </c>
    </row>
    <row r="12" spans="8:8" ht="55.2">
      <c r="A12" s="61" t="s">
        <v>59</v>
      </c>
      <c r="B12" s="57" t="s">
        <v>60</v>
      </c>
      <c r="C12" s="57" t="s">
        <v>61</v>
      </c>
      <c r="D12" s="57" t="s">
        <v>62</v>
      </c>
      <c r="E12" s="57" t="s">
        <v>63</v>
      </c>
      <c r="F12" s="62">
        <v>5.0</v>
      </c>
    </row>
    <row r="13" spans="8:8" ht="94.2" customHeight="1">
      <c r="A13" s="59" t="s">
        <v>64</v>
      </c>
      <c r="B13" s="59" t="s">
        <v>65</v>
      </c>
      <c r="C13" s="59" t="s">
        <v>66</v>
      </c>
      <c r="D13" s="59" t="s">
        <v>67</v>
      </c>
      <c r="E13" s="59" t="s">
        <v>68</v>
      </c>
      <c r="F13" s="63">
        <v>5.0</v>
      </c>
    </row>
    <row r="14" spans="8:8" ht="69.0">
      <c r="A14" s="59" t="s">
        <v>69</v>
      </c>
      <c r="B14" s="59" t="s">
        <v>70</v>
      </c>
      <c r="C14" s="59" t="s">
        <v>71</v>
      </c>
      <c r="D14" s="59" t="s">
        <v>72</v>
      </c>
      <c r="E14" s="59" t="s">
        <v>73</v>
      </c>
      <c r="F14" s="63">
        <v>5.0</v>
      </c>
    </row>
    <row r="15" spans="8:8" ht="69.6">
      <c r="A15" s="53" t="s">
        <v>74</v>
      </c>
      <c r="B15" s="54" t="s">
        <v>75</v>
      </c>
      <c r="C15" s="54" t="s">
        <v>76</v>
      </c>
      <c r="D15" s="54" t="s">
        <v>77</v>
      </c>
      <c r="E15" s="54" t="s">
        <v>78</v>
      </c>
      <c r="F15" s="55">
        <v>10.0</v>
      </c>
    </row>
    <row r="16" spans="8:8" ht="83.4">
      <c r="A16" s="53" t="s">
        <v>79</v>
      </c>
      <c r="B16" s="54" t="s">
        <v>80</v>
      </c>
      <c r="C16" s="54" t="s">
        <v>81</v>
      </c>
      <c r="D16" s="54" t="s">
        <v>82</v>
      </c>
      <c r="E16" s="54" t="s">
        <v>83</v>
      </c>
      <c r="F16" s="55">
        <v>10.0</v>
      </c>
    </row>
    <row r="17" spans="8:8" ht="97.2">
      <c r="A17" s="53" t="s">
        <v>84</v>
      </c>
      <c r="B17" s="54" t="s">
        <v>85</v>
      </c>
      <c r="C17" s="54" t="s">
        <v>86</v>
      </c>
      <c r="D17" s="54" t="s">
        <v>87</v>
      </c>
      <c r="E17" s="54" t="s">
        <v>88</v>
      </c>
      <c r="F17" s="55">
        <v>10.0</v>
      </c>
    </row>
    <row r="18" spans="8:8" ht="15.0">
      <c r="A18" s="64" t="s">
        <v>89</v>
      </c>
      <c r="B18" s="65"/>
      <c r="C18" s="65"/>
      <c r="D18" s="65"/>
      <c r="E18" s="66"/>
      <c r="F18" s="67">
        <v>1.0</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C1000"/>
  <sheetViews>
    <sheetView workbookViewId="0" topLeftCell="A89" zoomScale="80">
      <selection activeCell="D89" sqref="D1:D1048576"/>
    </sheetView>
  </sheetViews>
  <sheetFormatPr defaultRowHeight="15.0" customHeight="1" defaultColWidth="14"/>
  <cols>
    <col min="1" max="21" customWidth="1" width="10.6640625" style="0"/>
  </cols>
  <sheetData>
    <row r="1" spans="8:8" ht="14.4">
      <c r="A1" t="s">
        <v>11</v>
      </c>
      <c r="B1" t="s">
        <v>12</v>
      </c>
    </row>
    <row r="2" spans="8:8" ht="14.4">
      <c r="A2">
        <v>0.0</v>
      </c>
      <c r="B2" s="68">
        <v>1.0</v>
      </c>
    </row>
    <row r="3" spans="8:8" ht="14.4">
      <c r="A3">
        <v>0.5</v>
      </c>
      <c r="B3" s="68">
        <v>1.0</v>
      </c>
    </row>
    <row r="4" spans="8:8" ht="14.4">
      <c r="A4">
        <v>1.0</v>
      </c>
      <c r="B4" s="68">
        <v>1.1</v>
      </c>
    </row>
    <row r="5" spans="8:8" ht="14.4">
      <c r="A5">
        <v>1.5</v>
      </c>
      <c r="B5" s="68">
        <v>1.1</v>
      </c>
    </row>
    <row r="6" spans="8:8" ht="14.4">
      <c r="A6">
        <v>2.0</v>
      </c>
      <c r="B6" s="68">
        <v>1.1</v>
      </c>
    </row>
    <row r="7" spans="8:8" ht="14.4">
      <c r="A7">
        <v>2.5</v>
      </c>
      <c r="B7" s="68">
        <v>1.2</v>
      </c>
    </row>
    <row r="8" spans="8:8" ht="14.4">
      <c r="A8">
        <v>3.0</v>
      </c>
      <c r="B8" s="68">
        <v>1.2</v>
      </c>
    </row>
    <row r="9" spans="8:8" ht="14.4">
      <c r="A9">
        <v>3.5</v>
      </c>
      <c r="B9" s="68">
        <v>1.3</v>
      </c>
    </row>
    <row r="10" spans="8:8" ht="14.4">
      <c r="A10">
        <v>4.0</v>
      </c>
      <c r="B10" s="68">
        <v>1.3</v>
      </c>
    </row>
    <row r="11" spans="8:8" ht="14.4">
      <c r="A11">
        <v>4.5</v>
      </c>
      <c r="B11" s="68">
        <v>1.3</v>
      </c>
    </row>
    <row r="12" spans="8:8" ht="14.4">
      <c r="A12">
        <v>5.0</v>
      </c>
      <c r="B12" s="68">
        <v>1.4</v>
      </c>
    </row>
    <row r="13" spans="8:8" ht="14.4">
      <c r="A13">
        <v>5.5</v>
      </c>
      <c r="B13" s="68">
        <v>1.4</v>
      </c>
    </row>
    <row r="14" spans="8:8" ht="14.4">
      <c r="A14">
        <v>6.0</v>
      </c>
      <c r="B14" s="68">
        <v>1.4</v>
      </c>
    </row>
    <row r="15" spans="8:8" ht="14.4">
      <c r="A15">
        <v>6.5</v>
      </c>
      <c r="B15" s="68">
        <v>1.5</v>
      </c>
    </row>
    <row r="16" spans="8:8" ht="14.4">
      <c r="A16">
        <v>7.0</v>
      </c>
      <c r="B16" s="68">
        <v>1.5</v>
      </c>
    </row>
    <row r="17" spans="8:8" ht="14.4">
      <c r="A17">
        <v>7.5</v>
      </c>
      <c r="B17" s="68">
        <v>1.5</v>
      </c>
    </row>
    <row r="18" spans="8:8" ht="14.4">
      <c r="A18">
        <v>8.0</v>
      </c>
      <c r="B18" s="68">
        <v>1.6</v>
      </c>
    </row>
    <row r="19" spans="8:8" ht="14.4">
      <c r="A19">
        <v>8.5</v>
      </c>
      <c r="B19" s="68">
        <v>1.6</v>
      </c>
    </row>
    <row r="20" spans="8:8" ht="14.4">
      <c r="A20">
        <v>9.0</v>
      </c>
      <c r="B20" s="68">
        <v>1.6</v>
      </c>
    </row>
    <row r="21" spans="8:8" ht="15.75" customHeight="1">
      <c r="A21">
        <v>9.5</v>
      </c>
      <c r="B21" s="68">
        <v>1.7</v>
      </c>
    </row>
    <row r="22" spans="8:8" ht="15.75" customHeight="1">
      <c r="A22">
        <v>10.0</v>
      </c>
      <c r="B22" s="68">
        <v>1.7</v>
      </c>
    </row>
    <row r="23" spans="8:8" ht="15.75" customHeight="1">
      <c r="A23">
        <v>10.5</v>
      </c>
      <c r="B23" s="68">
        <v>1.8</v>
      </c>
    </row>
    <row r="24" spans="8:8" ht="15.75" customHeight="1">
      <c r="A24">
        <v>11.0</v>
      </c>
      <c r="B24" s="68">
        <v>1.8</v>
      </c>
    </row>
    <row r="25" spans="8:8" ht="15.75" customHeight="1">
      <c r="A25">
        <v>11.5</v>
      </c>
      <c r="B25" s="68">
        <v>1.8</v>
      </c>
    </row>
    <row r="26" spans="8:8" ht="15.75" customHeight="1">
      <c r="A26">
        <v>12.0</v>
      </c>
      <c r="B26" s="68">
        <v>1.9</v>
      </c>
    </row>
    <row r="27" spans="8:8" ht="15.75" customHeight="1">
      <c r="A27">
        <v>12.5</v>
      </c>
      <c r="B27" s="68">
        <v>1.9</v>
      </c>
    </row>
    <row r="28" spans="8:8" ht="15.75" customHeight="1">
      <c r="A28">
        <v>13.0</v>
      </c>
      <c r="B28" s="68">
        <v>1.9</v>
      </c>
    </row>
    <row r="29" spans="8:8" ht="15.75" customHeight="1">
      <c r="A29">
        <v>13.5</v>
      </c>
      <c r="B29" s="68">
        <v>2.0</v>
      </c>
    </row>
    <row r="30" spans="8:8" ht="15.75" customHeight="1">
      <c r="A30">
        <v>14.0</v>
      </c>
      <c r="B30" s="68">
        <v>2.0</v>
      </c>
    </row>
    <row r="31" spans="8:8" ht="15.75" customHeight="1">
      <c r="A31">
        <v>14.5</v>
      </c>
      <c r="B31" s="68">
        <v>2.0</v>
      </c>
    </row>
    <row r="32" spans="8:8" ht="15.75" customHeight="1">
      <c r="A32">
        <v>15.0</v>
      </c>
      <c r="B32" s="68">
        <v>2.1</v>
      </c>
    </row>
    <row r="33" spans="8:8" ht="15.75" customHeight="1">
      <c r="A33">
        <v>15.5</v>
      </c>
      <c r="B33" s="68">
        <v>2.1</v>
      </c>
    </row>
    <row r="34" spans="8:8" ht="15.75" customHeight="1">
      <c r="A34">
        <v>16.0</v>
      </c>
      <c r="B34" s="68">
        <v>2.1</v>
      </c>
    </row>
    <row r="35" spans="8:8" ht="15.75" customHeight="1">
      <c r="A35">
        <v>16.5</v>
      </c>
      <c r="B35" s="68">
        <v>2.2</v>
      </c>
    </row>
    <row r="36" spans="8:8" ht="15.75" customHeight="1">
      <c r="A36">
        <v>17.0</v>
      </c>
      <c r="B36" s="68">
        <v>2.2</v>
      </c>
    </row>
    <row r="37" spans="8:8" ht="15.75" customHeight="1">
      <c r="A37">
        <v>17.5</v>
      </c>
      <c r="B37" s="68">
        <v>2.3</v>
      </c>
    </row>
    <row r="38" spans="8:8" ht="15.75" customHeight="1">
      <c r="A38">
        <v>18.0</v>
      </c>
      <c r="B38" s="68">
        <v>2.3</v>
      </c>
    </row>
    <row r="39" spans="8:8" ht="15.75" customHeight="1">
      <c r="A39">
        <v>18.5</v>
      </c>
      <c r="B39" s="68">
        <v>2.3</v>
      </c>
    </row>
    <row r="40" spans="8:8" ht="15.75" customHeight="1">
      <c r="A40">
        <v>19.0</v>
      </c>
      <c r="B40" s="68">
        <v>2.4</v>
      </c>
    </row>
    <row r="41" spans="8:8" ht="15.75" customHeight="1">
      <c r="A41">
        <v>19.5</v>
      </c>
      <c r="B41" s="68">
        <v>2.4</v>
      </c>
    </row>
    <row r="42" spans="8:8" ht="15.75" customHeight="1">
      <c r="A42">
        <v>20.0</v>
      </c>
      <c r="B42" s="68">
        <v>2.4</v>
      </c>
    </row>
    <row r="43" spans="8:8" ht="15.75" customHeight="1">
      <c r="A43">
        <v>20.5</v>
      </c>
      <c r="B43" s="68">
        <v>2.5</v>
      </c>
    </row>
    <row r="44" spans="8:8" ht="15.75" customHeight="1">
      <c r="A44">
        <v>21.0</v>
      </c>
      <c r="B44" s="68">
        <v>2.5</v>
      </c>
    </row>
    <row r="45" spans="8:8" ht="15.75" customHeight="1">
      <c r="A45">
        <v>21.5</v>
      </c>
      <c r="B45" s="68">
        <v>2.5</v>
      </c>
    </row>
    <row r="46" spans="8:8" ht="15.75" customHeight="1">
      <c r="A46">
        <v>22.0</v>
      </c>
      <c r="B46" s="68">
        <v>2.6</v>
      </c>
    </row>
    <row r="47" spans="8:8" ht="15.75" customHeight="1">
      <c r="A47">
        <v>22.5</v>
      </c>
      <c r="B47" s="68">
        <v>2.6</v>
      </c>
    </row>
    <row r="48" spans="8:8" ht="15.75" customHeight="1">
      <c r="A48">
        <v>23.0</v>
      </c>
      <c r="B48" s="68">
        <v>2.6</v>
      </c>
    </row>
    <row r="49" spans="8:8" ht="15.75" customHeight="1">
      <c r="A49">
        <v>23.5</v>
      </c>
      <c r="B49" s="68">
        <v>2.7</v>
      </c>
    </row>
    <row r="50" spans="8:8" ht="15.75" customHeight="1">
      <c r="A50">
        <v>24.0</v>
      </c>
      <c r="B50" s="68">
        <v>2.7</v>
      </c>
    </row>
    <row r="51" spans="8:8" ht="15.75" customHeight="1">
      <c r="A51">
        <v>24.5</v>
      </c>
      <c r="B51" s="68">
        <v>2.8</v>
      </c>
    </row>
    <row r="52" spans="8:8" ht="15.75" customHeight="1">
      <c r="A52">
        <v>25.0</v>
      </c>
      <c r="B52" s="68">
        <v>2.8</v>
      </c>
    </row>
    <row r="53" spans="8:8" ht="15.75" customHeight="1">
      <c r="A53">
        <v>25.5</v>
      </c>
      <c r="B53" s="68">
        <v>2.8</v>
      </c>
    </row>
    <row r="54" spans="8:8" ht="15.75" customHeight="1">
      <c r="A54">
        <v>26.0</v>
      </c>
      <c r="B54" s="68">
        <v>2.9</v>
      </c>
    </row>
    <row r="55" spans="8:8" ht="15.75" customHeight="1">
      <c r="A55">
        <v>26.5</v>
      </c>
      <c r="B55" s="68">
        <v>2.9</v>
      </c>
    </row>
    <row r="56" spans="8:8" ht="15.75" customHeight="1">
      <c r="A56">
        <v>27.0</v>
      </c>
      <c r="B56" s="68">
        <v>2.9</v>
      </c>
    </row>
    <row r="57" spans="8:8" ht="15.75" customHeight="1">
      <c r="A57">
        <v>27.5</v>
      </c>
      <c r="B57" s="68">
        <v>3.0</v>
      </c>
    </row>
    <row r="58" spans="8:8" ht="15.75" customHeight="1">
      <c r="A58">
        <v>28.0</v>
      </c>
      <c r="B58" s="68">
        <v>3.0</v>
      </c>
    </row>
    <row r="59" spans="8:8" ht="15.75" customHeight="1">
      <c r="A59">
        <v>28.5</v>
      </c>
      <c r="B59" s="68">
        <v>3.0</v>
      </c>
    </row>
    <row r="60" spans="8:8" ht="15.75" customHeight="1">
      <c r="A60">
        <v>29.0</v>
      </c>
      <c r="B60" s="68">
        <v>3.1</v>
      </c>
    </row>
    <row r="61" spans="8:8" ht="15.75" customHeight="1">
      <c r="A61">
        <v>29.5</v>
      </c>
      <c r="B61" s="68">
        <v>3.1</v>
      </c>
    </row>
    <row r="62" spans="8:8" ht="15.75" customHeight="1">
      <c r="A62">
        <v>30.0</v>
      </c>
      <c r="B62" s="68">
        <v>3.1</v>
      </c>
    </row>
    <row r="63" spans="8:8" ht="15.75" customHeight="1">
      <c r="A63">
        <v>30.5</v>
      </c>
      <c r="B63" s="68">
        <v>3.2</v>
      </c>
    </row>
    <row r="64" spans="8:8" ht="15.75" customHeight="1">
      <c r="A64">
        <v>31.0</v>
      </c>
      <c r="B64" s="68">
        <v>3.2</v>
      </c>
    </row>
    <row r="65" spans="8:8" ht="15.75" customHeight="1">
      <c r="A65">
        <v>31.5</v>
      </c>
      <c r="B65" s="68">
        <v>3.3</v>
      </c>
    </row>
    <row r="66" spans="8:8" ht="15.75" customHeight="1">
      <c r="A66">
        <v>32.0</v>
      </c>
      <c r="B66" s="68">
        <v>3.3</v>
      </c>
    </row>
    <row r="67" spans="8:8" ht="15.75" customHeight="1">
      <c r="A67">
        <v>32.5</v>
      </c>
      <c r="B67" s="68">
        <v>3.3</v>
      </c>
    </row>
    <row r="68" spans="8:8" ht="15.75" customHeight="1">
      <c r="A68">
        <v>33.0</v>
      </c>
      <c r="B68" s="68">
        <v>3.4</v>
      </c>
    </row>
    <row r="69" spans="8:8" ht="15.75" customHeight="1">
      <c r="A69">
        <v>33.5</v>
      </c>
      <c r="B69" s="68">
        <v>3.4</v>
      </c>
    </row>
    <row r="70" spans="8:8" ht="15.75" customHeight="1">
      <c r="A70">
        <v>34.0</v>
      </c>
      <c r="B70" s="68">
        <v>3.4</v>
      </c>
    </row>
    <row r="71" spans="8:8" ht="15.75" customHeight="1">
      <c r="A71">
        <v>34.5</v>
      </c>
      <c r="B71" s="68">
        <v>3.5</v>
      </c>
    </row>
    <row r="72" spans="8:8" ht="15.75" customHeight="1">
      <c r="A72">
        <v>35.0</v>
      </c>
      <c r="B72" s="68">
        <v>3.5</v>
      </c>
    </row>
    <row r="73" spans="8:8" ht="15.75" customHeight="1">
      <c r="A73">
        <v>35.5</v>
      </c>
      <c r="B73" s="68">
        <v>3.5</v>
      </c>
    </row>
    <row r="74" spans="8:8" ht="15.75" customHeight="1">
      <c r="A74">
        <v>36.0</v>
      </c>
      <c r="B74" s="68">
        <v>3.6</v>
      </c>
    </row>
    <row r="75" spans="8:8" ht="15.75" customHeight="1">
      <c r="A75">
        <v>36.5</v>
      </c>
      <c r="B75" s="68">
        <v>3.6</v>
      </c>
    </row>
    <row r="76" spans="8:8" ht="15.75" customHeight="1">
      <c r="A76">
        <v>37.0</v>
      </c>
      <c r="B76" s="68">
        <v>3.6</v>
      </c>
    </row>
    <row r="77" spans="8:8" ht="15.75" customHeight="1">
      <c r="A77">
        <v>37.5</v>
      </c>
      <c r="B77" s="68">
        <v>3.7</v>
      </c>
    </row>
    <row r="78" spans="8:8" ht="15.75" customHeight="1">
      <c r="A78">
        <v>38.0</v>
      </c>
      <c r="B78" s="68">
        <v>3.7</v>
      </c>
    </row>
    <row r="79" spans="8:8" ht="15.75" customHeight="1">
      <c r="A79">
        <v>38.5</v>
      </c>
      <c r="B79" s="68">
        <v>3.8</v>
      </c>
    </row>
    <row r="80" spans="8:8" ht="15.75" customHeight="1">
      <c r="A80">
        <v>39.0</v>
      </c>
      <c r="B80" s="68">
        <v>3.8</v>
      </c>
    </row>
    <row r="81" spans="8:8" ht="15.75" customHeight="1">
      <c r="A81">
        <v>39.5</v>
      </c>
      <c r="B81" s="68">
        <v>3.8</v>
      </c>
    </row>
    <row r="82" spans="8:8" ht="15.75" customHeight="1">
      <c r="A82">
        <v>40.0</v>
      </c>
      <c r="B82" s="68">
        <v>3.9</v>
      </c>
    </row>
    <row r="83" spans="8:8" ht="15.75" customHeight="1">
      <c r="A83">
        <v>40.5</v>
      </c>
      <c r="B83" s="68">
        <v>3.9</v>
      </c>
    </row>
    <row r="84" spans="8:8" ht="15.75" customHeight="1">
      <c r="A84">
        <v>41.0</v>
      </c>
      <c r="B84" s="68">
        <v>3.9</v>
      </c>
    </row>
    <row r="85" spans="8:8" ht="15.75" customHeight="1">
      <c r="A85">
        <v>41.5</v>
      </c>
      <c r="B85" s="68">
        <v>4.0</v>
      </c>
    </row>
    <row r="86" spans="8:8" ht="15.75" customHeight="1">
      <c r="A86">
        <v>42.0</v>
      </c>
      <c r="B86" s="68">
        <v>4.0</v>
      </c>
    </row>
    <row r="87" spans="8:8" ht="15.75" customHeight="1">
      <c r="A87">
        <v>42.5</v>
      </c>
      <c r="B87" s="68">
        <v>4.1</v>
      </c>
    </row>
    <row r="88" spans="8:8" ht="15.75" customHeight="1">
      <c r="A88">
        <v>43.0</v>
      </c>
      <c r="B88" s="68">
        <v>4.1</v>
      </c>
    </row>
    <row r="89" spans="8:8" ht="15.75" customHeight="1">
      <c r="A89">
        <v>43.5</v>
      </c>
      <c r="B89" s="68">
        <v>4.2</v>
      </c>
    </row>
    <row r="90" spans="8:8" ht="15.75" customHeight="1">
      <c r="A90">
        <v>44.0</v>
      </c>
      <c r="B90" s="68">
        <v>4.2</v>
      </c>
    </row>
    <row r="91" spans="8:8" ht="15.75" customHeight="1">
      <c r="A91">
        <v>44.5</v>
      </c>
      <c r="B91" s="68">
        <v>4.3</v>
      </c>
    </row>
    <row r="92" spans="8:8" ht="15.75" customHeight="1">
      <c r="A92">
        <v>45.0</v>
      </c>
      <c r="B92" s="68">
        <v>4.3</v>
      </c>
    </row>
    <row r="93" spans="8:8" ht="15.75" customHeight="1">
      <c r="A93">
        <v>45.5</v>
      </c>
      <c r="B93" s="68">
        <v>4.4</v>
      </c>
    </row>
    <row r="94" spans="8:8" ht="15.75" customHeight="1">
      <c r="A94">
        <v>46.0</v>
      </c>
      <c r="B94" s="68">
        <v>4.4</v>
      </c>
    </row>
    <row r="95" spans="8:8" ht="15.75" customHeight="1">
      <c r="A95">
        <v>46.5</v>
      </c>
      <c r="B95" s="68">
        <v>4.5</v>
      </c>
    </row>
    <row r="96" spans="8:8" ht="15.75" customHeight="1">
      <c r="A96">
        <v>47.0</v>
      </c>
      <c r="B96" s="68">
        <v>4.5</v>
      </c>
    </row>
    <row r="97" spans="8:8" ht="15.75" customHeight="1">
      <c r="A97">
        <v>47.5</v>
      </c>
      <c r="B97" s="68">
        <v>4.6</v>
      </c>
    </row>
    <row r="98" spans="8:8" ht="15.75" customHeight="1">
      <c r="A98">
        <v>48.0</v>
      </c>
      <c r="B98" s="68">
        <v>4.6</v>
      </c>
    </row>
    <row r="99" spans="8:8" ht="15.75" customHeight="1">
      <c r="A99">
        <v>48.5</v>
      </c>
      <c r="B99" s="68">
        <v>4.7</v>
      </c>
    </row>
    <row r="100" spans="8:8" ht="15.75" customHeight="1">
      <c r="A100">
        <v>49.0</v>
      </c>
      <c r="B100" s="68">
        <v>4.8</v>
      </c>
    </row>
    <row r="101" spans="8:8" ht="15.75" customHeight="1">
      <c r="A101">
        <v>49.5</v>
      </c>
      <c r="B101" s="68">
        <v>4.8</v>
      </c>
    </row>
    <row r="102" spans="8:8" ht="15.75" customHeight="1">
      <c r="A102">
        <v>50.0</v>
      </c>
      <c r="B102" s="68">
        <v>4.9</v>
      </c>
    </row>
    <row r="103" spans="8:8" ht="15.75" customHeight="1">
      <c r="A103">
        <v>50.5</v>
      </c>
      <c r="B103" s="68">
        <v>4.9</v>
      </c>
    </row>
    <row r="104" spans="8:8" ht="15.75" customHeight="1">
      <c r="A104">
        <v>51.0</v>
      </c>
      <c r="B104" s="68">
        <v>5.0</v>
      </c>
    </row>
    <row r="105" spans="8:8" ht="15.75" customHeight="1">
      <c r="A105">
        <v>51.5</v>
      </c>
      <c r="B105" s="68">
        <v>5.0</v>
      </c>
    </row>
    <row r="106" spans="8:8" ht="15.75" customHeight="1">
      <c r="A106">
        <v>52.0</v>
      </c>
      <c r="B106" s="68">
        <v>5.1</v>
      </c>
    </row>
    <row r="107" spans="8:8" ht="15.75" customHeight="1">
      <c r="A107">
        <v>52.5</v>
      </c>
      <c r="B107" s="68">
        <v>5.1</v>
      </c>
    </row>
    <row r="108" spans="8:8" ht="15.75" customHeight="1">
      <c r="A108">
        <v>53.0</v>
      </c>
      <c r="B108" s="68">
        <v>5.2</v>
      </c>
    </row>
    <row r="109" spans="8:8" ht="15.75" customHeight="1">
      <c r="A109">
        <v>53.5</v>
      </c>
      <c r="B109" s="68">
        <v>5.2</v>
      </c>
    </row>
    <row r="110" spans="8:8" ht="15.75" customHeight="1">
      <c r="A110">
        <v>54.0</v>
      </c>
      <c r="B110" s="68">
        <v>5.3</v>
      </c>
    </row>
    <row r="111" spans="8:8" ht="15.75" customHeight="1">
      <c r="A111">
        <v>54.5</v>
      </c>
      <c r="B111" s="68">
        <v>5.3</v>
      </c>
    </row>
    <row r="112" spans="8:8" ht="15.75" customHeight="1">
      <c r="A112">
        <v>55.0</v>
      </c>
      <c r="B112" s="68">
        <v>5.4</v>
      </c>
    </row>
    <row r="113" spans="8:8" ht="15.75" customHeight="1">
      <c r="A113">
        <v>55.5</v>
      </c>
      <c r="B113" s="68">
        <v>5.4</v>
      </c>
    </row>
    <row r="114" spans="8:8" ht="15.75" customHeight="1">
      <c r="A114">
        <v>56.0</v>
      </c>
      <c r="B114" s="68">
        <v>5.5</v>
      </c>
    </row>
    <row r="115" spans="8:8" ht="15.75" customHeight="1">
      <c r="A115">
        <v>56.5</v>
      </c>
      <c r="B115" s="68">
        <v>5.6</v>
      </c>
    </row>
    <row r="116" spans="8:8" ht="15.75" customHeight="1">
      <c r="A116">
        <v>57.0</v>
      </c>
      <c r="B116" s="68">
        <v>5.6</v>
      </c>
    </row>
    <row r="117" spans="8:8" ht="15.75" customHeight="1">
      <c r="A117">
        <v>57.5</v>
      </c>
      <c r="B117" s="68">
        <v>5.7</v>
      </c>
    </row>
    <row r="118" spans="8:8" ht="15.75" customHeight="1">
      <c r="A118">
        <v>58.0</v>
      </c>
      <c r="B118" s="68">
        <v>5.7</v>
      </c>
    </row>
    <row r="119" spans="8:8" ht="15.75" customHeight="1">
      <c r="A119">
        <v>58.5</v>
      </c>
      <c r="B119" s="68">
        <v>5.8</v>
      </c>
    </row>
    <row r="120" spans="8:8" ht="15.75" customHeight="1">
      <c r="A120">
        <v>59.0</v>
      </c>
      <c r="B120" s="68">
        <v>5.8</v>
      </c>
    </row>
    <row r="121" spans="8:8" ht="15.75" customHeight="1">
      <c r="A121">
        <v>59.5</v>
      </c>
      <c r="B121" s="68">
        <v>5.9</v>
      </c>
    </row>
    <row r="122" spans="8:8" ht="15.75" customHeight="1">
      <c r="A122">
        <v>60.0</v>
      </c>
      <c r="B122" s="68">
        <v>5.9</v>
      </c>
    </row>
    <row r="123" spans="8:8" ht="15.75" customHeight="1">
      <c r="A123">
        <v>60.5</v>
      </c>
      <c r="B123" s="68">
        <v>6.0</v>
      </c>
    </row>
    <row r="124" spans="8:8" ht="15.75" customHeight="1">
      <c r="A124">
        <v>61.0</v>
      </c>
      <c r="B124" s="68">
        <v>6.0</v>
      </c>
    </row>
    <row r="125" spans="8:8" ht="15.75" customHeight="1">
      <c r="A125">
        <v>61.5</v>
      </c>
      <c r="B125" s="68">
        <v>6.1</v>
      </c>
    </row>
    <row r="126" spans="8:8" ht="15.75" customHeight="1">
      <c r="A126">
        <v>62.0</v>
      </c>
      <c r="B126" s="68">
        <v>6.1</v>
      </c>
    </row>
    <row r="127" spans="8:8" ht="15.75" customHeight="1">
      <c r="A127">
        <v>62.5</v>
      </c>
      <c r="B127" s="68">
        <v>6.2</v>
      </c>
    </row>
    <row r="128" spans="8:8" ht="15.75" customHeight="1">
      <c r="A128">
        <v>63.0</v>
      </c>
      <c r="B128" s="68">
        <v>6.3</v>
      </c>
    </row>
    <row r="129" spans="8:8" ht="15.75" customHeight="1">
      <c r="A129">
        <v>63.5</v>
      </c>
      <c r="B129" s="68">
        <v>6.3</v>
      </c>
    </row>
    <row r="130" spans="8:8" ht="15.75" customHeight="1">
      <c r="A130">
        <v>64.0</v>
      </c>
      <c r="B130" s="68">
        <v>6.4</v>
      </c>
    </row>
    <row r="131" spans="8:8" ht="15.75" customHeight="1">
      <c r="A131">
        <v>64.5</v>
      </c>
      <c r="B131" s="68">
        <v>6.4</v>
      </c>
    </row>
    <row r="132" spans="8:8" ht="15.75" customHeight="1">
      <c r="A132">
        <v>65.0</v>
      </c>
      <c r="B132" s="68">
        <v>6.5</v>
      </c>
    </row>
    <row r="133" spans="8:8" ht="15.75" customHeight="1">
      <c r="A133">
        <v>65.5</v>
      </c>
      <c r="B133" s="68">
        <v>6.5</v>
      </c>
    </row>
    <row r="134" spans="8:8" ht="15.75" customHeight="1">
      <c r="A134">
        <v>66.0</v>
      </c>
      <c r="B134" s="68">
        <v>6.6</v>
      </c>
    </row>
    <row r="135" spans="8:8" ht="15.75" customHeight="1">
      <c r="A135">
        <v>66.5</v>
      </c>
      <c r="B135" s="68">
        <v>6.6</v>
      </c>
    </row>
    <row r="136" spans="8:8" ht="15.75" customHeight="1">
      <c r="A136">
        <v>67.0</v>
      </c>
      <c r="B136" s="68">
        <v>6.7</v>
      </c>
    </row>
    <row r="137" spans="8:8" ht="15.75" customHeight="1">
      <c r="A137">
        <v>67.5</v>
      </c>
      <c r="B137" s="68">
        <v>6.7</v>
      </c>
    </row>
    <row r="138" spans="8:8" ht="15.75" customHeight="1">
      <c r="A138">
        <v>68.0</v>
      </c>
      <c r="B138" s="68">
        <v>6.8</v>
      </c>
    </row>
    <row r="139" spans="8:8" ht="15.75" customHeight="1">
      <c r="A139">
        <v>68.5</v>
      </c>
      <c r="B139" s="68">
        <v>6.8</v>
      </c>
    </row>
    <row r="140" spans="8:8" ht="15.75" customHeight="1">
      <c r="A140">
        <v>69.0</v>
      </c>
      <c r="B140" s="68">
        <v>6.9</v>
      </c>
    </row>
    <row r="141" spans="8:8" ht="15.75" customHeight="1">
      <c r="A141">
        <v>69.5</v>
      </c>
      <c r="B141" s="68">
        <v>6.9</v>
      </c>
    </row>
    <row r="142" spans="8:8" ht="15.75" customHeight="1">
      <c r="A142">
        <v>70.0</v>
      </c>
      <c r="B142" s="68">
        <v>7.0</v>
      </c>
    </row>
    <row r="143" spans="8:8" ht="15.75" customHeight="1"/>
    <row r="144" spans="8:8" ht="15.75" customHeight="1"/>
    <row r="145" spans="8:8" ht="15.75" customHeight="1"/>
    <row r="146" spans="8:8" ht="15.75" customHeight="1"/>
    <row r="147" spans="8:8" ht="15.75" customHeight="1"/>
    <row r="148" spans="8:8" ht="15.75" customHeight="1"/>
    <row r="149" spans="8:8" ht="15.75" customHeight="1"/>
    <row r="150" spans="8:8" ht="15.75" customHeight="1"/>
    <row r="151" spans="8:8" ht="15.75" customHeight="1"/>
    <row r="152" spans="8:8" ht="15.75" customHeight="1"/>
    <row r="153" spans="8:8" ht="15.75" customHeight="1"/>
    <row r="154" spans="8:8" ht="15.75" customHeight="1"/>
    <row r="155" spans="8:8" ht="15.75" customHeight="1"/>
    <row r="156" spans="8:8" ht="15.75" customHeight="1"/>
    <row r="157" spans="8:8" ht="15.75" customHeight="1"/>
    <row r="158" spans="8:8" ht="15.75" customHeight="1"/>
    <row r="159" spans="8:8" ht="15.75" customHeight="1"/>
    <row r="160" spans="8:8" ht="15.75" customHeight="1"/>
    <row r="161" spans="8:8" ht="15.75" customHeight="1"/>
    <row r="162" spans="8:8" ht="15.75" customHeight="1"/>
    <row r="163" spans="8:8" ht="15.75" customHeight="1"/>
    <row r="164" spans="8:8" ht="15.75" customHeight="1"/>
    <row r="165" spans="8:8" ht="15.75" customHeight="1"/>
    <row r="166" spans="8:8" ht="15.75" customHeight="1"/>
    <row r="167" spans="8:8" ht="15.75" customHeight="1"/>
    <row r="168" spans="8:8" ht="15.75" customHeight="1"/>
    <row r="169" spans="8:8" ht="15.75" customHeight="1"/>
    <row r="170" spans="8:8" ht="15.75" customHeight="1"/>
    <row r="171" spans="8:8" ht="15.75" customHeight="1"/>
    <row r="172" spans="8:8" ht="15.75" customHeight="1"/>
    <row r="173" spans="8:8" ht="15.75" customHeight="1"/>
    <row r="174" spans="8:8" ht="15.75" customHeight="1"/>
    <row r="175" spans="8:8" ht="15.75" customHeight="1"/>
    <row r="176" spans="8:8" ht="15.75" customHeight="1"/>
    <row r="177" spans="8:8" ht="15.75" customHeight="1"/>
    <row r="178" spans="8:8" ht="15.75" customHeight="1"/>
    <row r="179" spans="8:8" ht="15.75" customHeight="1"/>
    <row r="180" spans="8:8" ht="15.75" customHeight="1"/>
    <row r="181" spans="8:8" ht="15.75" customHeight="1"/>
    <row r="182" spans="8:8" ht="15.75" customHeight="1"/>
    <row r="183" spans="8:8" ht="15.75" customHeight="1"/>
    <row r="184" spans="8:8" ht="15.75" customHeight="1"/>
    <row r="185" spans="8:8" ht="15.75" customHeight="1"/>
    <row r="186" spans="8:8" ht="15.75" customHeight="1"/>
    <row r="187" spans="8:8" ht="15.75" customHeight="1"/>
    <row r="188" spans="8:8" ht="15.75" customHeight="1"/>
    <row r="189" spans="8:8" ht="15.75" customHeight="1"/>
    <row r="190" spans="8:8" ht="15.75" customHeight="1"/>
    <row r="191" spans="8:8" ht="15.75" customHeight="1"/>
    <row r="192" spans="8:8" ht="15.75" customHeight="1"/>
    <row r="193" spans="8:8" ht="15.75" customHeight="1"/>
    <row r="194" spans="8:8" ht="15.75" customHeight="1"/>
    <row r="195" spans="8:8" ht="15.75" customHeight="1"/>
    <row r="196" spans="8:8" ht="15.75" customHeight="1"/>
    <row r="197" spans="8:8" ht="15.75" customHeight="1"/>
    <row r="198" spans="8:8" ht="15.75" customHeight="1"/>
    <row r="199" spans="8:8" ht="15.75" customHeight="1"/>
    <row r="200" spans="8:8" ht="15.75" customHeight="1"/>
    <row r="201" spans="8:8" ht="15.75" customHeight="1"/>
    <row r="202" spans="8:8" ht="15.75" customHeight="1"/>
    <row r="203" spans="8:8" ht="15.75" customHeight="1"/>
    <row r="204" spans="8:8" ht="15.75" customHeight="1"/>
    <row r="205" spans="8:8" ht="15.75" customHeight="1"/>
    <row r="206" spans="8:8" ht="15.75" customHeight="1"/>
    <row r="207" spans="8:8" ht="15.75" customHeight="1"/>
    <row r="208" spans="8:8" ht="15.75" customHeight="1"/>
    <row r="209" spans="8:8" ht="15.75" customHeight="1"/>
    <row r="210" spans="8:8" ht="15.75" customHeight="1"/>
    <row r="211" spans="8:8" ht="15.75" customHeight="1"/>
    <row r="212" spans="8:8" ht="15.75" customHeight="1"/>
    <row r="213" spans="8:8" ht="15.75" customHeight="1"/>
    <row r="214" spans="8:8" ht="15.75" customHeight="1"/>
    <row r="215" spans="8:8" ht="15.75" customHeight="1"/>
    <row r="216" spans="8:8" ht="15.75" customHeight="1"/>
    <row r="217" spans="8:8" ht="15.75" customHeight="1"/>
    <row r="218" spans="8:8" ht="15.75" customHeight="1"/>
    <row r="219" spans="8:8" ht="15.75" customHeight="1"/>
    <row r="220" spans="8:8" ht="15.7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pageMargins left="0.75" right="0.75" top="1.0" bottom="1.0" header="0.0" footer="0.0"/>
  <pageSetup paperSize="9" fitToWidth="0" fitToHeight="0" orientation="landscape"/>
</worksheet>
</file>

<file path=xl/worksheets/sheet4.xml><?xml version="1.0" encoding="utf-8"?>
<worksheet xmlns:r="http://schemas.openxmlformats.org/officeDocument/2006/relationships" xmlns="http://schemas.openxmlformats.org/spreadsheetml/2006/main">
  <dimension ref="A1:C1000"/>
  <sheetViews>
    <sheetView workbookViewId="0">
      <selection activeCell="A1" sqref="A1"/>
    </sheetView>
  </sheetViews>
  <sheetFormatPr defaultRowHeight="15.0" customHeight="1" defaultColWidth="14"/>
  <cols>
    <col min="1" max="26" customWidth="1" width="10.6640625" style="0"/>
  </cols>
  <sheetData>
    <row r="1" spans="8:8" ht="14.4">
      <c r="A1" t="s">
        <v>90</v>
      </c>
      <c r="B1" t="s">
        <v>91</v>
      </c>
    </row>
    <row r="2" spans="8:8" ht="14.4">
      <c r="A2">
        <v>0.0</v>
      </c>
      <c r="B2" s="10">
        <v>1.0</v>
      </c>
    </row>
    <row r="3" spans="8:8" ht="14.4">
      <c r="A3">
        <v>1.0</v>
      </c>
      <c r="B3" s="10">
        <v>1.1</v>
      </c>
    </row>
    <row r="4" spans="8:8" ht="14.4">
      <c r="A4">
        <v>2.0</v>
      </c>
      <c r="B4" s="10">
        <v>1.2</v>
      </c>
    </row>
    <row r="5" spans="8:8" ht="14.4">
      <c r="A5">
        <v>3.0</v>
      </c>
      <c r="B5" s="10">
        <v>1.3</v>
      </c>
    </row>
    <row r="6" spans="8:8" ht="14.4">
      <c r="A6">
        <v>4.0</v>
      </c>
      <c r="B6" s="10">
        <v>1.4</v>
      </c>
    </row>
    <row r="7" spans="8:8" ht="14.4">
      <c r="A7">
        <v>5.0</v>
      </c>
      <c r="B7" s="10">
        <v>1.5</v>
      </c>
    </row>
    <row r="8" spans="8:8" ht="14.4">
      <c r="A8">
        <v>6.0</v>
      </c>
      <c r="B8" s="10">
        <v>1.6</v>
      </c>
    </row>
    <row r="9" spans="8:8" ht="14.4">
      <c r="A9">
        <v>7.0</v>
      </c>
      <c r="B9" s="10">
        <v>1.7</v>
      </c>
    </row>
    <row r="10" spans="8:8" ht="14.4">
      <c r="A10">
        <v>8.0</v>
      </c>
      <c r="B10" s="10">
        <v>1.8</v>
      </c>
    </row>
    <row r="11" spans="8:8" ht="14.4">
      <c r="A11">
        <v>9.0</v>
      </c>
      <c r="B11" s="10">
        <v>1.9</v>
      </c>
    </row>
    <row r="12" spans="8:8" ht="14.4">
      <c r="A12">
        <v>10.0</v>
      </c>
      <c r="B12" s="10">
        <v>2.0</v>
      </c>
    </row>
    <row r="13" spans="8:8" ht="14.4">
      <c r="A13">
        <v>11.0</v>
      </c>
      <c r="B13" s="10">
        <v>2.1</v>
      </c>
    </row>
    <row r="14" spans="8:8" ht="14.4">
      <c r="A14">
        <v>12.0</v>
      </c>
      <c r="B14" s="10">
        <v>2.2</v>
      </c>
    </row>
    <row r="15" spans="8:8" ht="14.4">
      <c r="A15">
        <v>13.0</v>
      </c>
      <c r="B15" s="10">
        <v>2.3</v>
      </c>
    </row>
    <row r="16" spans="8:8" ht="14.4">
      <c r="A16">
        <v>14.0</v>
      </c>
      <c r="B16" s="10">
        <v>2.3</v>
      </c>
    </row>
    <row r="17" spans="8:8" ht="14.4">
      <c r="A17">
        <v>15.0</v>
      </c>
      <c r="B17" s="10">
        <v>2.4</v>
      </c>
    </row>
    <row r="18" spans="8:8" ht="14.4">
      <c r="A18">
        <v>16.0</v>
      </c>
      <c r="B18" s="10">
        <v>2.5</v>
      </c>
    </row>
    <row r="19" spans="8:8" ht="14.4">
      <c r="A19">
        <v>17.0</v>
      </c>
      <c r="B19" s="10">
        <v>2.6</v>
      </c>
    </row>
    <row r="20" spans="8:8" ht="14.4">
      <c r="A20">
        <v>18.0</v>
      </c>
      <c r="B20" s="10">
        <v>2.7</v>
      </c>
    </row>
    <row r="21" spans="8:8" ht="15.75" customHeight="1">
      <c r="A21">
        <v>19.0</v>
      </c>
      <c r="B21" s="10">
        <v>2.8</v>
      </c>
    </row>
    <row r="22" spans="8:8" ht="15.75" customHeight="1">
      <c r="A22">
        <v>20.0</v>
      </c>
      <c r="B22" s="10">
        <v>2.9</v>
      </c>
    </row>
    <row r="23" spans="8:8" ht="15.75" customHeight="1">
      <c r="A23">
        <v>21.0</v>
      </c>
      <c r="B23" s="10">
        <v>3.0</v>
      </c>
    </row>
    <row r="24" spans="8:8" ht="15.75" customHeight="1">
      <c r="A24">
        <v>22.0</v>
      </c>
      <c r="B24" s="10">
        <v>3.1</v>
      </c>
    </row>
    <row r="25" spans="8:8" ht="15.75" customHeight="1">
      <c r="A25">
        <v>23.0</v>
      </c>
      <c r="B25" s="10">
        <v>3.2</v>
      </c>
    </row>
    <row r="26" spans="8:8" ht="15.75" customHeight="1">
      <c r="A26">
        <v>24.0</v>
      </c>
      <c r="B26" s="10">
        <v>3.3</v>
      </c>
    </row>
    <row r="27" spans="8:8" ht="15.75" customHeight="1">
      <c r="A27">
        <v>25.0</v>
      </c>
      <c r="B27" s="10">
        <v>3.4</v>
      </c>
    </row>
    <row r="28" spans="8:8" ht="15.75" customHeight="1">
      <c r="A28">
        <v>26.0</v>
      </c>
      <c r="B28" s="10">
        <v>3.5</v>
      </c>
    </row>
    <row r="29" spans="8:8" ht="15.75" customHeight="1">
      <c r="A29">
        <v>27.0</v>
      </c>
      <c r="B29" s="10">
        <v>3.6</v>
      </c>
    </row>
    <row r="30" spans="8:8" ht="15.75" customHeight="1">
      <c r="A30">
        <v>28.0</v>
      </c>
      <c r="B30" s="10">
        <v>3.7</v>
      </c>
    </row>
    <row r="31" spans="8:8" ht="15.75" customHeight="1">
      <c r="A31">
        <v>29.0</v>
      </c>
      <c r="B31" s="10">
        <v>3.8</v>
      </c>
    </row>
    <row r="32" spans="8:8" ht="15.75" customHeight="1">
      <c r="A32">
        <v>30.0</v>
      </c>
      <c r="B32" s="10">
        <v>3.9</v>
      </c>
    </row>
    <row r="33" spans="8:8" ht="15.75" customHeight="1">
      <c r="A33">
        <v>31.0</v>
      </c>
      <c r="B33" s="10">
        <v>4.0</v>
      </c>
    </row>
    <row r="34" spans="8:8" ht="15.75" customHeight="1">
      <c r="A34">
        <v>32.0</v>
      </c>
      <c r="B34" s="10">
        <v>4.1</v>
      </c>
    </row>
    <row r="35" spans="8:8" ht="15.75" customHeight="1">
      <c r="A35">
        <v>33.0</v>
      </c>
      <c r="B35" s="10">
        <v>4.3</v>
      </c>
    </row>
    <row r="36" spans="8:8" ht="15.75" customHeight="1">
      <c r="A36">
        <v>34.0</v>
      </c>
      <c r="B36" s="10">
        <v>4.4</v>
      </c>
    </row>
    <row r="37" spans="8:8" ht="15.75" customHeight="1">
      <c r="A37">
        <v>35.0</v>
      </c>
      <c r="B37" s="10">
        <v>4.5</v>
      </c>
    </row>
    <row r="38" spans="8:8" ht="15.75" customHeight="1">
      <c r="A38">
        <v>36.0</v>
      </c>
      <c r="B38" s="10">
        <v>4.7</v>
      </c>
    </row>
    <row r="39" spans="8:8" ht="15.75" customHeight="1">
      <c r="A39">
        <v>37.0</v>
      </c>
      <c r="B39" s="10">
        <v>4.8</v>
      </c>
    </row>
    <row r="40" spans="8:8" ht="15.75" customHeight="1">
      <c r="A40">
        <v>38.0</v>
      </c>
      <c r="B40" s="10">
        <v>5.0</v>
      </c>
    </row>
    <row r="41" spans="8:8" ht="15.75" customHeight="1">
      <c r="A41">
        <v>39.0</v>
      </c>
      <c r="B41" s="10">
        <v>5.1</v>
      </c>
    </row>
    <row r="42" spans="8:8" ht="15.75" customHeight="1">
      <c r="A42">
        <v>40.0</v>
      </c>
      <c r="B42" s="10">
        <v>5.3</v>
      </c>
    </row>
    <row r="43" spans="8:8" ht="15.75" customHeight="1">
      <c r="A43">
        <v>41.0</v>
      </c>
      <c r="B43" s="10">
        <v>5.4</v>
      </c>
    </row>
    <row r="44" spans="8:8" ht="15.75" customHeight="1">
      <c r="A44">
        <v>42.0</v>
      </c>
      <c r="B44" s="10">
        <v>5.6</v>
      </c>
    </row>
    <row r="45" spans="8:8" ht="15.75" customHeight="1">
      <c r="A45">
        <v>43.0</v>
      </c>
      <c r="B45" s="10">
        <v>5.7</v>
      </c>
    </row>
    <row r="46" spans="8:8" ht="15.75" customHeight="1">
      <c r="A46">
        <v>44.0</v>
      </c>
      <c r="B46" s="10">
        <v>5.8</v>
      </c>
    </row>
    <row r="47" spans="8:8" ht="15.75" customHeight="1">
      <c r="A47">
        <v>45.0</v>
      </c>
      <c r="B47" s="10">
        <v>6.0</v>
      </c>
    </row>
    <row r="48" spans="8:8" ht="15.75" customHeight="1">
      <c r="A48">
        <v>46.0</v>
      </c>
      <c r="B48" s="10">
        <v>6.1</v>
      </c>
    </row>
    <row r="49" spans="8:8" ht="15.75" customHeight="1">
      <c r="A49">
        <v>47.0</v>
      </c>
      <c r="B49" s="10">
        <v>6.3</v>
      </c>
    </row>
    <row r="50" spans="8:8" ht="15.75" customHeight="1">
      <c r="A50">
        <v>48.0</v>
      </c>
      <c r="B50" s="10">
        <v>6.4</v>
      </c>
    </row>
    <row r="51" spans="8:8" ht="15.75" customHeight="1">
      <c r="A51">
        <v>49.0</v>
      </c>
      <c r="B51" s="10">
        <v>6.6</v>
      </c>
    </row>
    <row r="52" spans="8:8" ht="15.75" customHeight="1">
      <c r="A52">
        <v>50.0</v>
      </c>
      <c r="B52" s="10">
        <v>6.7</v>
      </c>
    </row>
    <row r="53" spans="8:8" ht="15.75" customHeight="1">
      <c r="A53">
        <v>51.0</v>
      </c>
      <c r="B53" s="10">
        <v>6.9</v>
      </c>
    </row>
    <row r="54" spans="8:8" ht="15.75" customHeight="1">
      <c r="A54">
        <v>52.0</v>
      </c>
      <c r="B54" s="10">
        <v>7.0</v>
      </c>
    </row>
    <row r="55" spans="8:8" ht="15.75" customHeight="1"/>
    <row r="56" spans="8:8" ht="15.75" customHeight="1"/>
    <row r="57" spans="8:8" ht="15.75" customHeight="1"/>
    <row r="58" spans="8:8" ht="15.75" customHeight="1"/>
    <row r="59" spans="8:8" ht="15.75" customHeight="1"/>
    <row r="60" spans="8:8" ht="15.75" customHeight="1"/>
    <row r="61" spans="8:8" ht="15.75" customHeight="1"/>
    <row r="62" spans="8:8" ht="15.75" customHeight="1"/>
    <row r="63" spans="8:8" ht="15.75" customHeight="1"/>
    <row r="64" spans="8:8" ht="15.75" customHeight="1"/>
    <row r="65" spans="8:8" ht="15.75" customHeight="1"/>
    <row r="66" spans="8:8" ht="15.75" customHeight="1"/>
    <row r="67" spans="8:8" ht="15.75" customHeight="1"/>
    <row r="68" spans="8:8" ht="15.75" customHeight="1"/>
    <row r="69" spans="8:8" ht="15.75" customHeight="1"/>
    <row r="70" spans="8:8" ht="15.75" customHeight="1"/>
    <row r="71" spans="8:8" ht="15.75" customHeight="1"/>
    <row r="72" spans="8:8" ht="15.75" customHeight="1"/>
    <row r="73" spans="8:8" ht="15.75" customHeight="1"/>
    <row r="74" spans="8:8" ht="15.75" customHeight="1"/>
    <row r="75" spans="8:8" ht="15.75" customHeight="1"/>
    <row r="76" spans="8:8" ht="15.75" customHeight="1"/>
    <row r="77" spans="8:8" ht="15.75" customHeight="1"/>
    <row r="78" spans="8:8" ht="15.75" customHeight="1"/>
    <row r="79" spans="8:8" ht="15.75" customHeight="1"/>
    <row r="80" spans="8:8" ht="15.75" customHeight="1"/>
    <row r="81" spans="8:8" ht="15.75" customHeight="1"/>
    <row r="82" spans="8:8" ht="15.75" customHeight="1"/>
    <row r="83" spans="8:8" ht="15.75" customHeight="1"/>
    <row r="84" spans="8:8" ht="15.75" customHeight="1"/>
    <row r="85" spans="8:8" ht="15.75" customHeight="1"/>
    <row r="86" spans="8:8" ht="15.75" customHeight="1"/>
    <row r="87" spans="8:8" ht="15.75" customHeight="1"/>
    <row r="88" spans="8:8" ht="15.75" customHeight="1"/>
    <row r="89" spans="8:8" ht="15.75" customHeight="1"/>
    <row r="90" spans="8:8" ht="15.75" customHeight="1"/>
    <row r="91" spans="8:8" ht="15.75" customHeight="1"/>
    <row r="92" spans="8:8" ht="15.75" customHeight="1"/>
    <row r="93" spans="8:8" ht="15.75" customHeight="1"/>
    <row r="94" spans="8:8" ht="15.75" customHeight="1"/>
    <row r="95" spans="8:8" ht="15.75" customHeight="1"/>
    <row r="96" spans="8:8" ht="15.75" customHeight="1"/>
    <row r="97" spans="8:8" ht="15.75" customHeight="1"/>
    <row r="98" spans="8:8" ht="15.75" customHeight="1"/>
    <row r="99" spans="8:8" ht="15.75" customHeight="1"/>
    <row r="100" spans="8:8" ht="15.75" customHeight="1"/>
    <row r="101" spans="8:8" ht="15.75" customHeight="1"/>
    <row r="102" spans="8:8" ht="15.75" customHeight="1"/>
    <row r="103" spans="8:8" ht="15.75" customHeight="1"/>
    <row r="104" spans="8:8" ht="15.75" customHeight="1"/>
    <row r="105" spans="8:8" ht="15.75" customHeight="1"/>
    <row r="106" spans="8:8" ht="15.75" customHeight="1"/>
    <row r="107" spans="8:8" ht="15.75" customHeight="1"/>
    <row r="108" spans="8:8" ht="15.75" customHeight="1"/>
    <row r="109" spans="8:8" ht="15.75" customHeight="1"/>
    <row r="110" spans="8:8" ht="15.75" customHeight="1"/>
    <row r="111" spans="8:8" ht="15.75" customHeight="1"/>
    <row r="112" spans="8:8" ht="15.75" customHeight="1"/>
    <row r="113" spans="8:8" ht="15.75" customHeight="1"/>
    <row r="114" spans="8:8" ht="15.75" customHeight="1"/>
    <row r="115" spans="8:8" ht="15.75" customHeight="1"/>
    <row r="116" spans="8:8" ht="15.75" customHeight="1"/>
    <row r="117" spans="8:8" ht="15.75" customHeight="1"/>
    <row r="118" spans="8:8" ht="15.75" customHeight="1"/>
    <row r="119" spans="8:8" ht="15.75" customHeight="1"/>
    <row r="120" spans="8:8" ht="15.75" customHeight="1"/>
    <row r="121" spans="8:8" ht="15.75" customHeight="1"/>
    <row r="122" spans="8:8" ht="15.75" customHeight="1"/>
    <row r="123" spans="8:8" ht="15.75" customHeight="1"/>
    <row r="124" spans="8:8" ht="15.75" customHeight="1"/>
    <row r="125" spans="8:8" ht="15.75" customHeight="1"/>
    <row r="126" spans="8:8" ht="15.75" customHeight="1"/>
    <row r="127" spans="8:8" ht="15.75" customHeight="1"/>
    <row r="128" spans="8:8" ht="15.75" customHeight="1"/>
    <row r="129" spans="8:8" ht="15.75" customHeight="1"/>
    <row r="130" spans="8:8" ht="15.75" customHeight="1"/>
    <row r="131" spans="8:8" ht="15.75" customHeight="1"/>
    <row r="132" spans="8:8" ht="15.75" customHeight="1"/>
    <row r="133" spans="8:8" ht="15.75" customHeight="1"/>
    <row r="134" spans="8:8" ht="15.75" customHeight="1"/>
    <row r="135" spans="8:8" ht="15.75" customHeight="1"/>
    <row r="136" spans="8:8" ht="15.75" customHeight="1"/>
    <row r="137" spans="8:8" ht="15.75" customHeight="1"/>
    <row r="138" spans="8:8" ht="15.75" customHeight="1"/>
    <row r="139" spans="8:8" ht="15.75" customHeight="1"/>
    <row r="140" spans="8:8" ht="15.75" customHeight="1"/>
    <row r="141" spans="8:8" ht="15.75" customHeight="1"/>
    <row r="142" spans="8:8" ht="15.75" customHeight="1"/>
    <row r="143" spans="8:8" ht="15.75" customHeight="1"/>
    <row r="144" spans="8:8" ht="15.75" customHeight="1"/>
    <row r="145" spans="8:8" ht="15.75" customHeight="1"/>
    <row r="146" spans="8:8" ht="15.75" customHeight="1"/>
    <row r="147" spans="8:8" ht="15.75" customHeight="1"/>
    <row r="148" spans="8:8" ht="15.75" customHeight="1"/>
    <row r="149" spans="8:8" ht="15.75" customHeight="1"/>
    <row r="150" spans="8:8" ht="15.75" customHeight="1"/>
    <row r="151" spans="8:8" ht="15.75" customHeight="1"/>
    <row r="152" spans="8:8" ht="15.75" customHeight="1"/>
    <row r="153" spans="8:8" ht="15.75" customHeight="1"/>
    <row r="154" spans="8:8" ht="15.75" customHeight="1"/>
    <row r="155" spans="8:8" ht="15.75" customHeight="1"/>
    <row r="156" spans="8:8" ht="15.75" customHeight="1"/>
    <row r="157" spans="8:8" ht="15.75" customHeight="1"/>
    <row r="158" spans="8:8" ht="15.75" customHeight="1"/>
    <row r="159" spans="8:8" ht="15.75" customHeight="1"/>
    <row r="160" spans="8:8" ht="15.75" customHeight="1"/>
    <row r="161" spans="8:8" ht="15.75" customHeight="1"/>
    <row r="162" spans="8:8" ht="15.75" customHeight="1"/>
    <row r="163" spans="8:8" ht="15.75" customHeight="1"/>
    <row r="164" spans="8:8" ht="15.75" customHeight="1"/>
    <row r="165" spans="8:8" ht="15.75" customHeight="1"/>
    <row r="166" spans="8:8" ht="15.75" customHeight="1"/>
    <row r="167" spans="8:8" ht="15.75" customHeight="1"/>
    <row r="168" spans="8:8" ht="15.75" customHeight="1"/>
    <row r="169" spans="8:8" ht="15.75" customHeight="1"/>
    <row r="170" spans="8:8" ht="15.75" customHeight="1"/>
    <row r="171" spans="8:8" ht="15.75" customHeight="1"/>
    <row r="172" spans="8:8" ht="15.75" customHeight="1"/>
    <row r="173" spans="8:8" ht="15.75" customHeight="1"/>
    <row r="174" spans="8:8" ht="15.75" customHeight="1"/>
    <row r="175" spans="8:8" ht="15.75" customHeight="1"/>
    <row r="176" spans="8:8" ht="15.75" customHeight="1"/>
    <row r="177" spans="8:8" ht="15.75" customHeight="1"/>
    <row r="178" spans="8:8" ht="15.75" customHeight="1"/>
    <row r="179" spans="8:8" ht="15.75" customHeight="1"/>
    <row r="180" spans="8:8" ht="15.75" customHeight="1"/>
    <row r="181" spans="8:8" ht="15.75" customHeight="1"/>
    <row r="182" spans="8:8" ht="15.75" customHeight="1"/>
    <row r="183" spans="8:8" ht="15.75" customHeight="1"/>
    <row r="184" spans="8:8" ht="15.75" customHeight="1"/>
    <row r="185" spans="8:8" ht="15.75" customHeight="1"/>
    <row r="186" spans="8:8" ht="15.75" customHeight="1"/>
    <row r="187" spans="8:8" ht="15.75" customHeight="1"/>
    <row r="188" spans="8:8" ht="15.75" customHeight="1"/>
    <row r="189" spans="8:8" ht="15.75" customHeight="1"/>
    <row r="190" spans="8:8" ht="15.75" customHeight="1"/>
    <row r="191" spans="8:8" ht="15.75" customHeight="1"/>
    <row r="192" spans="8:8" ht="15.75" customHeight="1"/>
    <row r="193" spans="8:8" ht="15.75" customHeight="1"/>
    <row r="194" spans="8:8" ht="15.75" customHeight="1"/>
    <row r="195" spans="8:8" ht="15.75" customHeight="1"/>
    <row r="196" spans="8:8" ht="15.75" customHeight="1"/>
    <row r="197" spans="8:8" ht="15.75" customHeight="1"/>
    <row r="198" spans="8:8" ht="15.75" customHeight="1"/>
    <row r="199" spans="8:8" ht="15.75" customHeight="1"/>
    <row r="200" spans="8:8" ht="15.75" customHeight="1"/>
    <row r="201" spans="8:8" ht="15.75" customHeight="1"/>
    <row r="202" spans="8:8" ht="15.75" customHeight="1"/>
    <row r="203" spans="8:8" ht="15.75" customHeight="1"/>
    <row r="204" spans="8:8" ht="15.75" customHeight="1"/>
    <row r="205" spans="8:8" ht="15.75" customHeight="1"/>
    <row r="206" spans="8:8" ht="15.75" customHeight="1"/>
    <row r="207" spans="8:8" ht="15.75" customHeight="1"/>
    <row r="208" spans="8:8" ht="15.75" customHeight="1"/>
    <row r="209" spans="8:8" ht="15.75" customHeight="1"/>
    <row r="210" spans="8:8" ht="15.75" customHeight="1"/>
    <row r="211" spans="8:8" ht="15.75" customHeight="1"/>
    <row r="212" spans="8:8" ht="15.75" customHeight="1"/>
    <row r="213" spans="8:8" ht="15.75" customHeight="1"/>
    <row r="214" spans="8:8" ht="15.75" customHeight="1"/>
    <row r="215" spans="8:8" ht="15.75" customHeight="1"/>
    <row r="216" spans="8:8" ht="15.75" customHeight="1"/>
    <row r="217" spans="8:8" ht="15.75" customHeight="1"/>
    <row r="218" spans="8:8" ht="15.75" customHeight="1"/>
    <row r="219" spans="8:8" ht="15.75" customHeight="1"/>
    <row r="220" spans="8:8" ht="15.7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pageMargins left="0.75" right="0.75" top="1.0" bottom="1.0" header="0.0" footer="0.0"/>
  <pageSetup paperSize="9" fitToWidth="0" fitToHeight="0" orientation="landscape"/>
</worksheet>
</file>

<file path=xl/worksheets/sheet5.xml><?xml version="1.0" encoding="utf-8"?>
<worksheet xmlns:r="http://schemas.openxmlformats.org/officeDocument/2006/relationships" xmlns="http://schemas.openxmlformats.org/spreadsheetml/2006/main">
  <dimension ref="A1:C1000"/>
  <sheetViews>
    <sheetView workbookViewId="0" topLeftCell="A48" zoomScale="80">
      <selection activeCell="D89" sqref="D1:D1048576"/>
    </sheetView>
  </sheetViews>
  <sheetFormatPr defaultRowHeight="15.0" customHeight="1" defaultColWidth="14"/>
  <cols>
    <col min="1" max="22" customWidth="1" width="10.6640625" style="0"/>
  </cols>
  <sheetData>
    <row r="1" spans="8:8" ht="14.4">
      <c r="A1" t="s">
        <v>11</v>
      </c>
      <c r="B1" t="s">
        <v>12</v>
      </c>
    </row>
    <row r="2" spans="8:8" ht="14.4">
      <c r="A2">
        <v>0.0</v>
      </c>
      <c r="B2" s="68">
        <v>1.0</v>
      </c>
    </row>
    <row r="3" spans="8:8" ht="14.4">
      <c r="A3">
        <v>0.5</v>
      </c>
      <c r="B3" s="68">
        <v>1.1</v>
      </c>
    </row>
    <row r="4" spans="8:8" ht="14.4">
      <c r="A4">
        <v>1.0</v>
      </c>
      <c r="B4" s="68">
        <v>1.2</v>
      </c>
    </row>
    <row r="5" spans="8:8" ht="14.4">
      <c r="A5">
        <v>1.5</v>
      </c>
      <c r="B5" s="68">
        <v>1.3</v>
      </c>
    </row>
    <row r="6" spans="8:8" ht="14.4">
      <c r="A6">
        <v>2.0</v>
      </c>
      <c r="B6" s="68">
        <v>1.3</v>
      </c>
    </row>
    <row r="7" spans="8:8" ht="14.4">
      <c r="A7">
        <v>2.5</v>
      </c>
      <c r="B7" s="68">
        <v>1.4</v>
      </c>
    </row>
    <row r="8" spans="8:8" ht="14.4">
      <c r="A8">
        <v>3.0</v>
      </c>
      <c r="B8" s="68">
        <v>1.5</v>
      </c>
    </row>
    <row r="9" spans="8:8" ht="14.4">
      <c r="A9">
        <v>3.5</v>
      </c>
      <c r="B9" s="68">
        <v>1.6</v>
      </c>
    </row>
    <row r="10" spans="8:8" ht="14.4">
      <c r="A10">
        <v>4.0</v>
      </c>
      <c r="B10" s="68">
        <v>1.7</v>
      </c>
    </row>
    <row r="11" spans="8:8" ht="14.4">
      <c r="A11">
        <v>4.5</v>
      </c>
      <c r="B11" s="68">
        <v>1.8</v>
      </c>
    </row>
    <row r="12" spans="8:8" ht="14.4">
      <c r="A12">
        <v>5.0</v>
      </c>
      <c r="B12" s="68">
        <v>1.8</v>
      </c>
    </row>
    <row r="13" spans="8:8" ht="14.4">
      <c r="A13">
        <v>5.5</v>
      </c>
      <c r="B13" s="68">
        <v>1.9</v>
      </c>
    </row>
    <row r="14" spans="8:8" ht="14.4">
      <c r="A14">
        <v>6.0</v>
      </c>
      <c r="B14" s="68">
        <v>2.0</v>
      </c>
    </row>
    <row r="15" spans="8:8" ht="14.4">
      <c r="A15">
        <v>6.5</v>
      </c>
      <c r="B15" s="68">
        <v>2.1</v>
      </c>
    </row>
    <row r="16" spans="8:8" ht="14.4">
      <c r="A16">
        <v>7.0</v>
      </c>
      <c r="B16" s="68">
        <v>2.2</v>
      </c>
    </row>
    <row r="17" spans="8:8" ht="14.4">
      <c r="A17">
        <v>7.5</v>
      </c>
      <c r="B17" s="68">
        <v>2.3</v>
      </c>
    </row>
    <row r="18" spans="8:8" ht="14.4">
      <c r="A18">
        <v>8.0</v>
      </c>
      <c r="B18" s="68">
        <v>2.3</v>
      </c>
    </row>
    <row r="19" spans="8:8" ht="14.4">
      <c r="A19">
        <v>8.5</v>
      </c>
      <c r="B19" s="68">
        <v>2.4</v>
      </c>
    </row>
    <row r="20" spans="8:8" ht="14.4">
      <c r="A20">
        <v>9.0</v>
      </c>
      <c r="B20" s="68">
        <v>2.5</v>
      </c>
    </row>
    <row r="21" spans="8:8" ht="15.75" customHeight="1">
      <c r="A21">
        <v>9.5</v>
      </c>
      <c r="B21" s="68">
        <v>2.6</v>
      </c>
    </row>
    <row r="22" spans="8:8" ht="15.75" customHeight="1">
      <c r="A22">
        <v>10.0</v>
      </c>
      <c r="B22" s="68">
        <v>2.7</v>
      </c>
    </row>
    <row r="23" spans="8:8" ht="15.75" customHeight="1">
      <c r="A23">
        <v>10.5</v>
      </c>
      <c r="B23" s="68">
        <v>2.8</v>
      </c>
    </row>
    <row r="24" spans="8:8" ht="15.75" customHeight="1">
      <c r="A24">
        <v>11.0</v>
      </c>
      <c r="B24" s="68">
        <v>2.8</v>
      </c>
    </row>
    <row r="25" spans="8:8" ht="15.75" customHeight="1">
      <c r="A25">
        <v>11.5</v>
      </c>
      <c r="B25" s="68">
        <v>2.9</v>
      </c>
    </row>
    <row r="26" spans="8:8" ht="15.75" customHeight="1">
      <c r="A26">
        <v>12.0</v>
      </c>
      <c r="B26" s="68">
        <v>3.0</v>
      </c>
    </row>
    <row r="27" spans="8:8" ht="15.75" customHeight="1">
      <c r="A27">
        <v>12.5</v>
      </c>
      <c r="B27" s="68">
        <v>3.1</v>
      </c>
    </row>
    <row r="28" spans="8:8" ht="15.75" customHeight="1">
      <c r="A28">
        <v>13.0</v>
      </c>
      <c r="B28" s="68">
        <v>3.2</v>
      </c>
    </row>
    <row r="29" spans="8:8" ht="15.75" customHeight="1">
      <c r="A29">
        <v>13.5</v>
      </c>
      <c r="B29" s="68">
        <v>3.3</v>
      </c>
    </row>
    <row r="30" spans="8:8" ht="15.75" customHeight="1">
      <c r="A30">
        <v>14.0</v>
      </c>
      <c r="B30" s="68">
        <v>3.3</v>
      </c>
    </row>
    <row r="31" spans="8:8" ht="15.75" customHeight="1">
      <c r="A31">
        <v>14.5</v>
      </c>
      <c r="B31" s="68">
        <v>3.4</v>
      </c>
    </row>
    <row r="32" spans="8:8" ht="15.75" customHeight="1">
      <c r="A32">
        <v>15.0</v>
      </c>
      <c r="B32" s="68">
        <v>3.5</v>
      </c>
    </row>
    <row r="33" spans="8:8" ht="15.75" customHeight="1">
      <c r="A33">
        <v>15.5</v>
      </c>
      <c r="B33" s="68">
        <v>3.6</v>
      </c>
    </row>
    <row r="34" spans="8:8" ht="15.75" customHeight="1">
      <c r="A34">
        <v>16.0</v>
      </c>
      <c r="B34" s="68">
        <v>3.7</v>
      </c>
    </row>
    <row r="35" spans="8:8" ht="15.75" customHeight="1">
      <c r="A35">
        <v>16.5</v>
      </c>
      <c r="B35" s="68">
        <v>3.8</v>
      </c>
    </row>
    <row r="36" spans="8:8" ht="15.75" customHeight="1">
      <c r="A36">
        <v>17.0</v>
      </c>
      <c r="B36" s="68">
        <v>3.8</v>
      </c>
    </row>
    <row r="37" spans="8:8" ht="15.75" customHeight="1">
      <c r="A37">
        <v>17.5</v>
      </c>
      <c r="B37" s="68">
        <v>3.9</v>
      </c>
    </row>
    <row r="38" spans="8:8" ht="15.75" customHeight="1">
      <c r="A38">
        <v>18.0</v>
      </c>
      <c r="B38" s="68">
        <v>4.0</v>
      </c>
    </row>
    <row r="39" spans="8:8" ht="15.75" customHeight="1">
      <c r="A39">
        <v>18.5</v>
      </c>
      <c r="B39" s="68">
        <v>4.1</v>
      </c>
    </row>
    <row r="40" spans="8:8" ht="15.75" customHeight="1">
      <c r="A40">
        <v>19.0</v>
      </c>
      <c r="B40" s="68">
        <v>4.3</v>
      </c>
    </row>
    <row r="41" spans="8:8" ht="15.75" customHeight="1">
      <c r="A41">
        <v>19.5</v>
      </c>
      <c r="B41" s="68">
        <v>4.4</v>
      </c>
    </row>
    <row r="42" spans="8:8" ht="15.75" customHeight="1">
      <c r="A42">
        <v>20.0</v>
      </c>
      <c r="B42" s="68">
        <v>4.5</v>
      </c>
    </row>
    <row r="43" spans="8:8" ht="15.75" customHeight="1">
      <c r="A43">
        <v>20.5</v>
      </c>
      <c r="B43" s="68">
        <v>4.6</v>
      </c>
    </row>
    <row r="44" spans="8:8" ht="15.75" customHeight="1">
      <c r="A44">
        <v>21.0</v>
      </c>
      <c r="B44" s="68">
        <v>4.8</v>
      </c>
    </row>
    <row r="45" spans="8:8" ht="15.75" customHeight="1">
      <c r="A45">
        <v>21.5</v>
      </c>
      <c r="B45" s="68">
        <v>4.9</v>
      </c>
    </row>
    <row r="46" spans="8:8" ht="15.75" customHeight="1">
      <c r="A46">
        <v>22.0</v>
      </c>
      <c r="B46" s="68">
        <v>5.0</v>
      </c>
    </row>
    <row r="47" spans="8:8" ht="15.75" customHeight="1">
      <c r="A47">
        <v>22.5</v>
      </c>
      <c r="B47" s="68">
        <v>5.1</v>
      </c>
    </row>
    <row r="48" spans="8:8" ht="15.75" customHeight="1">
      <c r="A48">
        <v>23.0</v>
      </c>
      <c r="B48" s="68">
        <v>5.3</v>
      </c>
    </row>
    <row r="49" spans="8:8" ht="15.75" customHeight="1">
      <c r="A49">
        <v>23.5</v>
      </c>
      <c r="B49" s="68">
        <v>5.4</v>
      </c>
    </row>
    <row r="50" spans="8:8" ht="15.75" customHeight="1">
      <c r="A50">
        <v>24.0</v>
      </c>
      <c r="B50" s="68">
        <v>5.5</v>
      </c>
    </row>
    <row r="51" spans="8:8" ht="15.75" customHeight="1">
      <c r="A51">
        <v>24.5</v>
      </c>
      <c r="B51" s="68">
        <v>5.6</v>
      </c>
    </row>
    <row r="52" spans="8:8" ht="15.75" customHeight="1">
      <c r="A52">
        <v>25.0</v>
      </c>
      <c r="B52" s="68">
        <v>5.8</v>
      </c>
    </row>
    <row r="53" spans="8:8" ht="15.75" customHeight="1">
      <c r="A53">
        <v>25.5</v>
      </c>
      <c r="B53" s="68">
        <v>5.9</v>
      </c>
    </row>
    <row r="54" spans="8:8" ht="15.75" customHeight="1">
      <c r="A54">
        <v>26.0</v>
      </c>
      <c r="B54" s="68">
        <v>6.0</v>
      </c>
    </row>
    <row r="55" spans="8:8" ht="15.75" customHeight="1">
      <c r="A55">
        <v>26.5</v>
      </c>
      <c r="B55" s="68">
        <v>6.1</v>
      </c>
    </row>
    <row r="56" spans="8:8" ht="15.75" customHeight="1">
      <c r="A56">
        <v>27.0</v>
      </c>
      <c r="B56" s="68">
        <v>6.3</v>
      </c>
    </row>
    <row r="57" spans="8:8" ht="15.75" customHeight="1">
      <c r="A57">
        <v>27.5</v>
      </c>
      <c r="B57" s="68">
        <v>6.4</v>
      </c>
    </row>
    <row r="58" spans="8:8" ht="15.75" customHeight="1">
      <c r="A58">
        <v>28.0</v>
      </c>
      <c r="B58" s="68">
        <v>6.5</v>
      </c>
    </row>
    <row r="59" spans="8:8" ht="15.75" customHeight="1">
      <c r="A59">
        <v>28.5</v>
      </c>
      <c r="B59" s="68">
        <v>6.6</v>
      </c>
    </row>
    <row r="60" spans="8:8" ht="15.75" customHeight="1">
      <c r="A60">
        <v>29.0</v>
      </c>
      <c r="B60" s="68">
        <v>6.8</v>
      </c>
    </row>
    <row r="61" spans="8:8" ht="15.75" customHeight="1">
      <c r="A61">
        <v>29.5</v>
      </c>
      <c r="B61" s="68">
        <v>6.9</v>
      </c>
    </row>
    <row r="62" spans="8:8" ht="15.75" customHeight="1">
      <c r="A62">
        <v>30.0</v>
      </c>
      <c r="B62" s="68">
        <v>7.0</v>
      </c>
    </row>
    <row r="63" spans="8:8" ht="15.75" customHeight="1"/>
    <row r="64" spans="8:8" ht="15.75" customHeight="1"/>
    <row r="65" spans="8:8" ht="15.75" customHeight="1"/>
    <row r="66" spans="8:8" ht="15.75" customHeight="1"/>
    <row r="67" spans="8:8" ht="15.75" customHeight="1"/>
    <row r="68" spans="8:8" ht="15.75" customHeight="1"/>
    <row r="69" spans="8:8" ht="15.75" customHeight="1"/>
    <row r="70" spans="8:8" ht="15.75" customHeight="1"/>
    <row r="71" spans="8:8" ht="15.75" customHeight="1"/>
    <row r="72" spans="8:8" ht="15.75" customHeight="1"/>
    <row r="73" spans="8:8" ht="15.75" customHeight="1"/>
    <row r="74" spans="8:8" ht="15.75" customHeight="1"/>
    <row r="75" spans="8:8" ht="15.75" customHeight="1"/>
    <row r="76" spans="8:8" ht="15.75" customHeight="1"/>
    <row r="77" spans="8:8" ht="15.75" customHeight="1"/>
    <row r="78" spans="8:8" ht="15.75" customHeight="1"/>
    <row r="79" spans="8:8" ht="15.75" customHeight="1"/>
    <row r="80" spans="8:8" ht="15.75" customHeight="1"/>
    <row r="81" spans="8:8" ht="15.75" customHeight="1"/>
    <row r="82" spans="8:8" ht="15.75" customHeight="1"/>
    <row r="83" spans="8:8" ht="15.75" customHeight="1"/>
    <row r="84" spans="8:8" ht="15.75" customHeight="1"/>
    <row r="85" spans="8:8" ht="15.75" customHeight="1"/>
    <row r="86" spans="8:8" ht="15.75" customHeight="1"/>
    <row r="87" spans="8:8" ht="15.75" customHeight="1"/>
    <row r="88" spans="8:8" ht="15.75" customHeight="1"/>
    <row r="89" spans="8:8" ht="15.75" customHeight="1"/>
    <row r="90" spans="8:8" ht="15.75" customHeight="1"/>
    <row r="91" spans="8:8" ht="15.75" customHeight="1"/>
    <row r="92" spans="8:8" ht="15.75" customHeight="1"/>
    <row r="93" spans="8:8" ht="15.75" customHeight="1"/>
    <row r="94" spans="8:8" ht="15.75" customHeight="1"/>
    <row r="95" spans="8:8" ht="15.75" customHeight="1"/>
    <row r="96" spans="8:8" ht="15.75" customHeight="1"/>
    <row r="97" spans="8:8" ht="15.75" customHeight="1"/>
    <row r="98" spans="8:8" ht="15.75" customHeight="1"/>
    <row r="99" spans="8:8" ht="15.75" customHeight="1"/>
    <row r="100" spans="8:8" ht="15.75" customHeight="1"/>
    <row r="101" spans="8:8" ht="15.75" customHeight="1"/>
    <row r="102" spans="8:8" ht="15.75" customHeight="1"/>
    <row r="103" spans="8:8" ht="15.75" customHeight="1"/>
    <row r="104" spans="8:8" ht="15.75" customHeight="1"/>
    <row r="105" spans="8:8" ht="15.75" customHeight="1"/>
    <row r="106" spans="8:8" ht="15.75" customHeight="1"/>
    <row r="107" spans="8:8" ht="15.75" customHeight="1"/>
    <row r="108" spans="8:8" ht="15.75" customHeight="1"/>
    <row r="109" spans="8:8" ht="15.75" customHeight="1"/>
    <row r="110" spans="8:8" ht="15.75" customHeight="1"/>
    <row r="111" spans="8:8" ht="15.75" customHeight="1"/>
    <row r="112" spans="8:8" ht="15.75" customHeight="1"/>
    <row r="113" spans="8:8" ht="15.75" customHeight="1"/>
    <row r="114" spans="8:8" ht="15.75" customHeight="1"/>
    <row r="115" spans="8:8" ht="15.75" customHeight="1"/>
    <row r="116" spans="8:8" ht="15.75" customHeight="1"/>
    <row r="117" spans="8:8" ht="15.75" customHeight="1"/>
    <row r="118" spans="8:8" ht="15.75" customHeight="1"/>
    <row r="119" spans="8:8" ht="15.75" customHeight="1"/>
    <row r="120" spans="8:8" ht="15.75" customHeight="1"/>
    <row r="121" spans="8:8" ht="15.75" customHeight="1"/>
    <row r="122" spans="8:8" ht="15.75" customHeight="1"/>
    <row r="123" spans="8:8" ht="15.75" customHeight="1"/>
    <row r="124" spans="8:8" ht="15.75" customHeight="1"/>
    <row r="125" spans="8:8" ht="15.75" customHeight="1"/>
    <row r="126" spans="8:8" ht="15.75" customHeight="1"/>
    <row r="127" spans="8:8" ht="15.75" customHeight="1"/>
    <row r="128" spans="8:8" ht="15.75" customHeight="1"/>
    <row r="129" spans="8:8" ht="15.75" customHeight="1"/>
    <row r="130" spans="8:8" ht="15.75" customHeight="1"/>
    <row r="131" spans="8:8" ht="15.75" customHeight="1"/>
    <row r="132" spans="8:8" ht="15.75" customHeight="1"/>
    <row r="133" spans="8:8" ht="15.75" customHeight="1"/>
    <row r="134" spans="8:8" ht="15.75" customHeight="1"/>
    <row r="135" spans="8:8" ht="15.75" customHeight="1"/>
    <row r="136" spans="8:8" ht="15.75" customHeight="1"/>
    <row r="137" spans="8:8" ht="15.75" customHeight="1"/>
    <row r="138" spans="8:8" ht="15.75" customHeight="1"/>
    <row r="139" spans="8:8" ht="15.75" customHeight="1"/>
    <row r="140" spans="8:8" ht="15.75" customHeight="1"/>
    <row r="141" spans="8:8" ht="15.75" customHeight="1"/>
    <row r="142" spans="8:8" ht="15.75" customHeight="1"/>
    <row r="143" spans="8:8" ht="15.75" customHeight="1"/>
    <row r="144" spans="8:8" ht="15.75" customHeight="1"/>
    <row r="145" spans="8:8" ht="15.75" customHeight="1"/>
    <row r="146" spans="8:8" ht="15.75" customHeight="1"/>
    <row r="147" spans="8:8" ht="15.75" customHeight="1"/>
    <row r="148" spans="8:8" ht="15.75" customHeight="1"/>
    <row r="149" spans="8:8" ht="15.75" customHeight="1"/>
    <row r="150" spans="8:8" ht="15.75" customHeight="1"/>
    <row r="151" spans="8:8" ht="15.75" customHeight="1"/>
    <row r="152" spans="8:8" ht="15.75" customHeight="1"/>
    <row r="153" spans="8:8" ht="15.75" customHeight="1"/>
    <row r="154" spans="8:8" ht="15.75" customHeight="1"/>
    <row r="155" spans="8:8" ht="15.75" customHeight="1"/>
    <row r="156" spans="8:8" ht="15.75" customHeight="1"/>
    <row r="157" spans="8:8" ht="15.75" customHeight="1"/>
    <row r="158" spans="8:8" ht="15.75" customHeight="1"/>
    <row r="159" spans="8:8" ht="15.75" customHeight="1"/>
    <row r="160" spans="8:8" ht="15.75" customHeight="1"/>
    <row r="161" spans="8:8" ht="15.75" customHeight="1"/>
    <row r="162" spans="8:8" ht="15.75" customHeight="1"/>
    <row r="163" spans="8:8" ht="15.75" customHeight="1"/>
    <row r="164" spans="8:8" ht="15.75" customHeight="1"/>
    <row r="165" spans="8:8" ht="15.75" customHeight="1"/>
    <row r="166" spans="8:8" ht="15.75" customHeight="1"/>
    <row r="167" spans="8:8" ht="15.75" customHeight="1"/>
    <row r="168" spans="8:8" ht="15.75" customHeight="1"/>
    <row r="169" spans="8:8" ht="15.75" customHeight="1"/>
    <row r="170" spans="8:8" ht="15.75" customHeight="1"/>
    <row r="171" spans="8:8" ht="15.75" customHeight="1"/>
    <row r="172" spans="8:8" ht="15.75" customHeight="1"/>
    <row r="173" spans="8:8" ht="15.75" customHeight="1"/>
    <row r="174" spans="8:8" ht="15.75" customHeight="1"/>
    <row r="175" spans="8:8" ht="15.75" customHeight="1"/>
    <row r="176" spans="8:8" ht="15.75" customHeight="1"/>
    <row r="177" spans="8:8" ht="15.75" customHeight="1"/>
    <row r="178" spans="8:8" ht="15.75" customHeight="1"/>
    <row r="179" spans="8:8" ht="15.75" customHeight="1"/>
    <row r="180" spans="8:8" ht="15.75" customHeight="1"/>
    <row r="181" spans="8:8" ht="15.75" customHeight="1"/>
    <row r="182" spans="8:8" ht="15.75" customHeight="1"/>
    <row r="183" spans="8:8" ht="15.75" customHeight="1"/>
    <row r="184" spans="8:8" ht="15.75" customHeight="1"/>
    <row r="185" spans="8:8" ht="15.75" customHeight="1"/>
    <row r="186" spans="8:8" ht="15.75" customHeight="1"/>
    <row r="187" spans="8:8" ht="15.75" customHeight="1"/>
    <row r="188" spans="8:8" ht="15.75" customHeight="1"/>
    <row r="189" spans="8:8" ht="15.75" customHeight="1"/>
    <row r="190" spans="8:8" ht="15.75" customHeight="1"/>
    <row r="191" spans="8:8" ht="15.75" customHeight="1"/>
    <row r="192" spans="8:8" ht="15.75" customHeight="1"/>
    <row r="193" spans="8:8" ht="15.75" customHeight="1"/>
    <row r="194" spans="8:8" ht="15.75" customHeight="1"/>
    <row r="195" spans="8:8" ht="15.75" customHeight="1"/>
    <row r="196" spans="8:8" ht="15.75" customHeight="1"/>
    <row r="197" spans="8:8" ht="15.75" customHeight="1"/>
    <row r="198" spans="8:8" ht="15.75" customHeight="1"/>
    <row r="199" spans="8:8" ht="15.75" customHeight="1"/>
    <row r="200" spans="8:8" ht="15.75" customHeight="1"/>
    <row r="201" spans="8:8" ht="15.75" customHeight="1"/>
    <row r="202" spans="8:8" ht="15.75" customHeight="1"/>
    <row r="203" spans="8:8" ht="15.75" customHeight="1"/>
    <row r="204" spans="8:8" ht="15.75" customHeight="1"/>
    <row r="205" spans="8:8" ht="15.75" customHeight="1"/>
    <row r="206" spans="8:8" ht="15.75" customHeight="1"/>
    <row r="207" spans="8:8" ht="15.75" customHeight="1"/>
    <row r="208" spans="8:8" ht="15.75" customHeight="1"/>
    <row r="209" spans="8:8" ht="15.75" customHeight="1"/>
    <row r="210" spans="8:8" ht="15.75" customHeight="1"/>
    <row r="211" spans="8:8" ht="15.75" customHeight="1"/>
    <row r="212" spans="8:8" ht="15.75" customHeight="1"/>
    <row r="213" spans="8:8" ht="15.75" customHeight="1"/>
    <row r="214" spans="8:8" ht="15.75" customHeight="1"/>
    <row r="215" spans="8:8" ht="15.75" customHeight="1"/>
    <row r="216" spans="8:8" ht="15.75" customHeight="1"/>
    <row r="217" spans="8:8" ht="15.75" customHeight="1"/>
    <row r="218" spans="8:8" ht="15.75" customHeight="1"/>
    <row r="219" spans="8:8" ht="15.75" customHeight="1"/>
    <row r="220" spans="8:8" ht="15.7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pageMargins left="0.75" right="0.75" top="1.0" bottom="1.0" header="0.0" footer="0.0"/>
  <pageSetup paperSize="9" fitToWidth="0" fitToHeight="0" orientation="landscape"/>
</worksheet>
</file>

<file path=xl/worksheets/sheet6.xml><?xml version="1.0" encoding="utf-8"?>
<worksheet xmlns:r="http://schemas.openxmlformats.org/officeDocument/2006/relationships" xmlns="http://schemas.openxmlformats.org/spreadsheetml/2006/main">
  <dimension ref="A1:F1000"/>
  <sheetViews>
    <sheetView workbookViewId="0">
      <selection activeCell="D12" sqref="D12"/>
    </sheetView>
  </sheetViews>
  <sheetFormatPr defaultRowHeight="15.0" customHeight="1" defaultColWidth="14"/>
  <cols>
    <col min="1" max="25" customWidth="1" width="10.6640625" style="0"/>
  </cols>
  <sheetData>
    <row r="1" spans="8:8" ht="14.4">
      <c r="A1" s="69" t="s">
        <v>92</v>
      </c>
      <c r="B1" s="70" t="s">
        <v>11</v>
      </c>
      <c r="C1" s="71"/>
      <c r="D1" s="71"/>
      <c r="E1" s="72"/>
    </row>
    <row r="2" spans="8:8" ht="43.8">
      <c r="A2" s="73"/>
      <c r="B2" s="74" t="s">
        <v>7</v>
      </c>
      <c r="C2" s="75" t="s">
        <v>8</v>
      </c>
      <c r="D2" s="75" t="s">
        <v>93</v>
      </c>
      <c r="E2" s="76" t="s">
        <v>10</v>
      </c>
    </row>
    <row r="3" spans="8:8" ht="29.4">
      <c r="A3" s="77" t="s">
        <v>94</v>
      </c>
      <c r="B3" s="78">
        <v>4.0</v>
      </c>
      <c r="C3" s="78">
        <v>3.0</v>
      </c>
      <c r="D3" s="78">
        <v>2.0</v>
      </c>
      <c r="E3" s="78">
        <v>0.0</v>
      </c>
    </row>
    <row r="4" spans="8:8" ht="15.0">
      <c r="A4" s="77"/>
      <c r="B4" s="78"/>
      <c r="C4" s="78"/>
      <c r="D4" s="78"/>
      <c r="E4" s="78"/>
    </row>
    <row r="5" spans="8:8" ht="15.0">
      <c r="A5" s="77"/>
      <c r="B5" s="78"/>
      <c r="C5" s="78"/>
      <c r="D5" s="78"/>
      <c r="E5" s="78"/>
    </row>
    <row r="21" spans="8:8" ht="15.75" customHeight="1"/>
    <row r="22" spans="8:8" ht="15.75" customHeight="1"/>
    <row r="23" spans="8:8" ht="15.75" customHeight="1"/>
    <row r="24" spans="8:8" ht="15.75" customHeight="1"/>
    <row r="25" spans="8:8" ht="15.75" customHeight="1"/>
    <row r="26" spans="8:8" ht="15.75" customHeight="1"/>
    <row r="27" spans="8:8" ht="15.75" customHeight="1"/>
    <row r="28" spans="8:8" ht="15.75" customHeight="1"/>
    <row r="29" spans="8:8" ht="15.75" customHeight="1"/>
    <row r="30" spans="8:8" ht="15.75" customHeight="1"/>
    <row r="31" spans="8:8" ht="15.75" customHeight="1"/>
    <row r="32" spans="8:8" ht="15.75" customHeight="1"/>
    <row r="33" spans="8:8" ht="15.75" customHeight="1"/>
    <row r="34" spans="8:8" ht="15.75" customHeight="1"/>
    <row r="35" spans="8:8" ht="15.75" customHeight="1"/>
    <row r="36" spans="8:8" ht="15.75" customHeight="1"/>
    <row r="37" spans="8:8" ht="15.75" customHeight="1"/>
    <row r="38" spans="8:8" ht="15.75" customHeight="1"/>
    <row r="39" spans="8:8" ht="15.75" customHeight="1"/>
    <row r="40" spans="8:8" ht="15.75" customHeight="1"/>
    <row r="41" spans="8:8" ht="15.75" customHeight="1"/>
    <row r="42" spans="8:8" ht="15.75" customHeight="1"/>
    <row r="43" spans="8:8" ht="15.75" customHeight="1"/>
    <row r="44" spans="8:8" ht="15.75" customHeight="1"/>
    <row r="45" spans="8:8" ht="15.75" customHeight="1"/>
    <row r="46" spans="8:8" ht="15.75" customHeight="1"/>
    <row r="47" spans="8:8" ht="15.75" customHeight="1"/>
    <row r="48" spans="8:8" ht="15.75" customHeight="1"/>
    <row r="49" spans="8:8" ht="15.75" customHeight="1"/>
    <row r="50" spans="8:8" ht="15.75" customHeight="1"/>
    <row r="51" spans="8:8" ht="15.75" customHeight="1"/>
    <row r="52" spans="8:8" ht="15.75" customHeight="1"/>
    <row r="53" spans="8:8" ht="15.75" customHeight="1"/>
    <row r="54" spans="8:8" ht="15.75" customHeight="1"/>
    <row r="55" spans="8:8" ht="15.75" customHeight="1"/>
    <row r="56" spans="8:8" ht="15.75" customHeight="1"/>
    <row r="57" spans="8:8" ht="15.75" customHeight="1"/>
    <row r="58" spans="8:8" ht="15.75" customHeight="1"/>
    <row r="59" spans="8:8" ht="15.75" customHeight="1"/>
    <row r="60" spans="8:8" ht="15.75" customHeight="1"/>
    <row r="61" spans="8:8" ht="15.75" customHeight="1"/>
    <row r="62" spans="8:8" ht="15.75" customHeight="1"/>
    <row r="63" spans="8:8" ht="15.75" customHeight="1"/>
    <row r="64" spans="8:8" ht="15.75" customHeight="1"/>
    <row r="65" spans="8:8" ht="15.75" customHeight="1"/>
    <row r="66" spans="8:8" ht="15.75" customHeight="1"/>
    <row r="67" spans="8:8" ht="15.75" customHeight="1"/>
    <row r="68" spans="8:8" ht="15.75" customHeight="1"/>
    <row r="69" spans="8:8" ht="15.75" customHeight="1"/>
    <row r="70" spans="8:8" ht="15.75" customHeight="1"/>
    <row r="71" spans="8:8" ht="15.75" customHeight="1"/>
    <row r="72" spans="8:8" ht="15.75" customHeight="1"/>
    <row r="73" spans="8:8" ht="15.75" customHeight="1"/>
    <row r="74" spans="8:8" ht="15.75" customHeight="1"/>
    <row r="75" spans="8:8" ht="15.75" customHeight="1"/>
    <row r="76" spans="8:8" ht="15.75" customHeight="1"/>
    <row r="77" spans="8:8" ht="15.75" customHeight="1"/>
    <row r="78" spans="8:8" ht="15.75" customHeight="1"/>
    <row r="79" spans="8:8" ht="15.75" customHeight="1"/>
    <row r="80" spans="8:8" ht="15.75" customHeight="1"/>
    <row r="81" spans="8:8" ht="15.75" customHeight="1"/>
    <row r="82" spans="8:8" ht="15.75" customHeight="1"/>
    <row r="83" spans="8:8" ht="15.75" customHeight="1"/>
    <row r="84" spans="8:8" ht="15.75" customHeight="1"/>
    <row r="85" spans="8:8" ht="15.75" customHeight="1"/>
    <row r="86" spans="8:8" ht="15.75" customHeight="1"/>
    <row r="87" spans="8:8" ht="15.75" customHeight="1"/>
    <row r="88" spans="8:8" ht="15.75" customHeight="1"/>
    <row r="89" spans="8:8" ht="15.75" customHeight="1"/>
    <row r="90" spans="8:8" ht="15.75" customHeight="1"/>
    <row r="91" spans="8:8" ht="15.75" customHeight="1"/>
    <row r="92" spans="8:8" ht="15.75" customHeight="1"/>
    <row r="93" spans="8:8" ht="15.75" customHeight="1"/>
    <row r="94" spans="8:8" ht="15.75" customHeight="1"/>
    <row r="95" spans="8:8" ht="15.75" customHeight="1"/>
    <row r="96" spans="8:8" ht="15.75" customHeight="1"/>
    <row r="97" spans="8:8" ht="15.75" customHeight="1"/>
    <row r="98" spans="8:8" ht="15.75" customHeight="1"/>
    <row r="99" spans="8:8" ht="15.75" customHeight="1"/>
    <row r="100" spans="8:8" ht="15.75" customHeight="1"/>
    <row r="101" spans="8:8" ht="15.75" customHeight="1"/>
    <row r="102" spans="8:8" ht="15.75" customHeight="1"/>
    <row r="103" spans="8:8" ht="15.75" customHeight="1"/>
    <row r="104" spans="8:8" ht="15.75" customHeight="1"/>
    <row r="105" spans="8:8" ht="15.75" customHeight="1"/>
    <row r="106" spans="8:8" ht="15.75" customHeight="1"/>
    <row r="107" spans="8:8" ht="15.75" customHeight="1"/>
    <row r="108" spans="8:8" ht="15.75" customHeight="1"/>
    <row r="109" spans="8:8" ht="15.75" customHeight="1"/>
    <row r="110" spans="8:8" ht="15.75" customHeight="1"/>
    <row r="111" spans="8:8" ht="15.75" customHeight="1"/>
    <row r="112" spans="8:8" ht="15.75" customHeight="1"/>
    <row r="113" spans="8:8" ht="15.75" customHeight="1"/>
    <row r="114" spans="8:8" ht="15.75" customHeight="1"/>
    <row r="115" spans="8:8" ht="15.75" customHeight="1"/>
    <row r="116" spans="8:8" ht="15.75" customHeight="1"/>
    <row r="117" spans="8:8" ht="15.75" customHeight="1"/>
    <row r="118" spans="8:8" ht="15.75" customHeight="1"/>
    <row r="119" spans="8:8" ht="15.75" customHeight="1"/>
    <row r="120" spans="8:8" ht="15.75" customHeight="1"/>
    <row r="121" spans="8:8" ht="15.75" customHeight="1"/>
    <row r="122" spans="8:8" ht="15.75" customHeight="1"/>
    <row r="123" spans="8:8" ht="15.75" customHeight="1"/>
    <row r="124" spans="8:8" ht="15.75" customHeight="1"/>
    <row r="125" spans="8:8" ht="15.75" customHeight="1"/>
    <row r="126" spans="8:8" ht="15.75" customHeight="1"/>
    <row r="127" spans="8:8" ht="15.75" customHeight="1"/>
    <row r="128" spans="8:8" ht="15.75" customHeight="1"/>
    <row r="129" spans="8:8" ht="15.75" customHeight="1"/>
    <row r="130" spans="8:8" ht="15.75" customHeight="1"/>
    <row r="131" spans="8:8" ht="15.75" customHeight="1"/>
    <row r="132" spans="8:8" ht="15.75" customHeight="1"/>
    <row r="133" spans="8:8" ht="15.75" customHeight="1"/>
    <row r="134" spans="8:8" ht="15.75" customHeight="1"/>
    <row r="135" spans="8:8" ht="15.75" customHeight="1"/>
    <row r="136" spans="8:8" ht="15.75" customHeight="1"/>
    <row r="137" spans="8:8" ht="15.75" customHeight="1"/>
    <row r="138" spans="8:8" ht="15.75" customHeight="1"/>
    <row r="139" spans="8:8" ht="15.75" customHeight="1"/>
    <row r="140" spans="8:8" ht="15.75" customHeight="1"/>
    <row r="141" spans="8:8" ht="15.75" customHeight="1"/>
    <row r="142" spans="8:8" ht="15.75" customHeight="1"/>
    <row r="143" spans="8:8" ht="15.75" customHeight="1"/>
    <row r="144" spans="8:8" ht="15.75" customHeight="1"/>
    <row r="145" spans="8:8" ht="15.75" customHeight="1"/>
    <row r="146" spans="8:8" ht="15.75" customHeight="1"/>
    <row r="147" spans="8:8" ht="15.75" customHeight="1"/>
    <row r="148" spans="8:8" ht="15.75" customHeight="1"/>
    <row r="149" spans="8:8" ht="15.75" customHeight="1"/>
    <row r="150" spans="8:8" ht="15.75" customHeight="1"/>
    <row r="151" spans="8:8" ht="15.75" customHeight="1"/>
    <row r="152" spans="8:8" ht="15.75" customHeight="1"/>
    <row r="153" spans="8:8" ht="15.75" customHeight="1"/>
    <row r="154" spans="8:8" ht="15.75" customHeight="1"/>
    <row r="155" spans="8:8" ht="15.75" customHeight="1"/>
    <row r="156" spans="8:8" ht="15.75" customHeight="1"/>
    <row r="157" spans="8:8" ht="15.75" customHeight="1"/>
    <row r="158" spans="8:8" ht="15.75" customHeight="1"/>
    <row r="159" spans="8:8" ht="15.75" customHeight="1"/>
    <row r="160" spans="8:8" ht="15.75" customHeight="1"/>
    <row r="161" spans="8:8" ht="15.75" customHeight="1"/>
    <row r="162" spans="8:8" ht="15.75" customHeight="1"/>
    <row r="163" spans="8:8" ht="15.75" customHeight="1"/>
    <row r="164" spans="8:8" ht="15.75" customHeight="1"/>
    <row r="165" spans="8:8" ht="15.75" customHeight="1"/>
    <row r="166" spans="8:8" ht="15.75" customHeight="1"/>
    <row r="167" spans="8:8" ht="15.75" customHeight="1"/>
    <row r="168" spans="8:8" ht="15.75" customHeight="1"/>
    <row r="169" spans="8:8" ht="15.75" customHeight="1"/>
    <row r="170" spans="8:8" ht="15.75" customHeight="1"/>
    <row r="171" spans="8:8" ht="15.75" customHeight="1"/>
    <row r="172" spans="8:8" ht="15.75" customHeight="1"/>
    <row r="173" spans="8:8" ht="15.75" customHeight="1"/>
    <row r="174" spans="8:8" ht="15.75" customHeight="1"/>
    <row r="175" spans="8:8" ht="15.75" customHeight="1"/>
    <row r="176" spans="8:8" ht="15.75" customHeight="1"/>
    <row r="177" spans="8:8" ht="15.75" customHeight="1"/>
    <row r="178" spans="8:8" ht="15.75" customHeight="1"/>
    <row r="179" spans="8:8" ht="15.75" customHeight="1"/>
    <row r="180" spans="8:8" ht="15.75" customHeight="1"/>
    <row r="181" spans="8:8" ht="15.75" customHeight="1"/>
    <row r="182" spans="8:8" ht="15.75" customHeight="1"/>
    <row r="183" spans="8:8" ht="15.75" customHeight="1"/>
    <row r="184" spans="8:8" ht="15.75" customHeight="1"/>
    <row r="185" spans="8:8" ht="15.75" customHeight="1"/>
    <row r="186" spans="8:8" ht="15.75" customHeight="1"/>
    <row r="187" spans="8:8" ht="15.75" customHeight="1"/>
    <row r="188" spans="8:8" ht="15.75" customHeight="1"/>
    <row r="189" spans="8:8" ht="15.75" customHeight="1"/>
    <row r="190" spans="8:8" ht="15.75" customHeight="1"/>
    <row r="191" spans="8:8" ht="15.75" customHeight="1"/>
    <row r="192" spans="8:8" ht="15.75" customHeight="1"/>
    <row r="193" spans="8:8" ht="15.75" customHeight="1"/>
    <row r="194" spans="8:8" ht="15.75" customHeight="1"/>
    <row r="195" spans="8:8" ht="15.75" customHeight="1"/>
    <row r="196" spans="8:8" ht="15.75" customHeight="1"/>
    <row r="197" spans="8:8" ht="15.75" customHeight="1"/>
    <row r="198" spans="8:8" ht="15.75" customHeight="1"/>
    <row r="199" spans="8:8" ht="15.75" customHeight="1"/>
    <row r="200" spans="8:8" ht="15.75" customHeight="1"/>
    <row r="201" spans="8:8" ht="15.75" customHeight="1"/>
    <row r="202" spans="8:8" ht="15.75" customHeight="1"/>
    <row r="203" spans="8:8" ht="15.75" customHeight="1"/>
    <row r="204" spans="8:8" ht="15.75" customHeight="1"/>
    <row r="205" spans="8:8" ht="15.75" customHeight="1"/>
    <row r="206" spans="8:8" ht="15.75" customHeight="1"/>
    <row r="207" spans="8:8" ht="15.75" customHeight="1"/>
    <row r="208" spans="8:8" ht="15.75" customHeight="1"/>
    <row r="209" spans="8:8" ht="15.75" customHeight="1"/>
    <row r="210" spans="8:8" ht="15.75" customHeight="1"/>
    <row r="211" spans="8:8" ht="15.75" customHeight="1"/>
    <row r="212" spans="8:8" ht="15.75" customHeight="1"/>
    <row r="213" spans="8:8" ht="15.75" customHeight="1"/>
    <row r="214" spans="8:8" ht="15.75" customHeight="1"/>
    <row r="215" spans="8:8" ht="15.75" customHeight="1"/>
    <row r="216" spans="8:8" ht="15.75" customHeight="1"/>
    <row r="217" spans="8:8" ht="15.75" customHeight="1"/>
    <row r="218" spans="8:8" ht="15.75" customHeight="1"/>
    <row r="219" spans="8:8" ht="15.75" customHeight="1"/>
    <row r="220" spans="8:8" ht="15.75" customHeight="1"/>
    <row r="221" spans="8:8" ht="15.75" customHeight="1"/>
    <row r="222" spans="8:8" ht="15.75" customHeight="1"/>
    <row r="223" spans="8:8" ht="15.75" customHeight="1"/>
    <row r="224" spans="8:8" ht="15.75" customHeight="1"/>
    <row r="225" spans="8:8" ht="15.75" customHeight="1"/>
    <row r="226" spans="8:8" ht="15.75" customHeight="1"/>
    <row r="227" spans="8:8" ht="15.75" customHeight="1"/>
    <row r="228" spans="8:8" ht="15.75" customHeight="1"/>
    <row r="229" spans="8:8" ht="15.75" customHeight="1"/>
    <row r="230" spans="8:8" ht="15.75" customHeight="1"/>
    <row r="231" spans="8:8" ht="15.75" customHeight="1"/>
    <row r="232" spans="8:8" ht="15.75" customHeight="1"/>
    <row r="233" spans="8:8" ht="15.75" customHeight="1"/>
    <row r="234" spans="8:8" ht="15.75" customHeight="1"/>
    <row r="235" spans="8:8" ht="15.75" customHeight="1"/>
    <row r="236" spans="8:8" ht="15.75" customHeight="1"/>
    <row r="237" spans="8:8" ht="15.75" customHeight="1"/>
    <row r="238" spans="8:8" ht="15.75" customHeight="1"/>
    <row r="239" spans="8:8" ht="15.75" customHeight="1"/>
    <row r="240" spans="8:8" ht="15.75" customHeight="1"/>
    <row r="241" spans="8:8" ht="15.75" customHeight="1"/>
    <row r="242" spans="8:8" ht="15.75" customHeight="1"/>
    <row r="243" spans="8:8" ht="15.75" customHeight="1"/>
    <row r="244" spans="8:8" ht="15.75" customHeight="1"/>
    <row r="245" spans="8:8" ht="15.75" customHeight="1"/>
    <row r="246" spans="8:8" ht="15.75" customHeight="1"/>
    <row r="247" spans="8:8" ht="15.75" customHeight="1"/>
    <row r="248" spans="8:8" ht="15.75" customHeight="1"/>
    <row r="249" spans="8:8" ht="15.75" customHeight="1"/>
    <row r="250" spans="8:8" ht="15.75" customHeight="1"/>
    <row r="251" spans="8:8" ht="15.75" customHeight="1"/>
    <row r="252" spans="8:8" ht="15.75" customHeight="1"/>
    <row r="253" spans="8:8" ht="15.75" customHeight="1"/>
    <row r="254" spans="8:8" ht="15.75" customHeight="1"/>
    <row r="255" spans="8:8" ht="15.75" customHeight="1"/>
    <row r="256" spans="8:8" ht="15.75" customHeight="1"/>
    <row r="257" spans="8:8" ht="15.75" customHeight="1"/>
    <row r="258" spans="8:8" ht="15.75" customHeight="1"/>
    <row r="259" spans="8:8" ht="15.75" customHeight="1"/>
    <row r="260" spans="8:8" ht="15.75" customHeight="1"/>
    <row r="261" spans="8:8" ht="15.75" customHeight="1"/>
    <row r="262" spans="8:8" ht="15.75" customHeight="1"/>
    <row r="263" spans="8:8" ht="15.75" customHeight="1"/>
    <row r="264" spans="8:8" ht="15.75" customHeight="1"/>
    <row r="265" spans="8:8" ht="15.75" customHeight="1"/>
    <row r="266" spans="8:8" ht="15.75" customHeight="1"/>
    <row r="267" spans="8:8" ht="15.75" customHeight="1"/>
    <row r="268" spans="8:8" ht="15.75" customHeight="1"/>
    <row r="269" spans="8:8" ht="15.75" customHeight="1"/>
    <row r="270" spans="8:8" ht="15.75" customHeight="1"/>
    <row r="271" spans="8:8" ht="15.75" customHeight="1"/>
    <row r="272" spans="8:8" ht="15.75" customHeight="1"/>
    <row r="273" spans="8:8" ht="15.75" customHeight="1"/>
    <row r="274" spans="8:8" ht="15.75" customHeight="1"/>
    <row r="275" spans="8:8" ht="15.75" customHeight="1"/>
    <row r="276" spans="8:8" ht="15.75" customHeight="1"/>
    <row r="277" spans="8:8" ht="15.75" customHeight="1"/>
    <row r="278" spans="8:8" ht="15.75" customHeight="1"/>
    <row r="279" spans="8:8" ht="15.75" customHeight="1"/>
    <row r="280" spans="8:8" ht="15.75" customHeight="1"/>
    <row r="281" spans="8:8" ht="15.75" customHeight="1"/>
    <row r="282" spans="8:8" ht="15.75" customHeight="1"/>
    <row r="283" spans="8:8" ht="15.75" customHeight="1"/>
    <row r="284" spans="8:8" ht="15.75" customHeight="1"/>
    <row r="285" spans="8:8" ht="15.75" customHeight="1"/>
    <row r="286" spans="8:8" ht="15.75" customHeight="1"/>
    <row r="287" spans="8:8" ht="15.75" customHeight="1"/>
    <row r="288" spans="8:8" ht="15.75" customHeight="1"/>
    <row r="289" spans="8:8" ht="15.75" customHeight="1"/>
    <row r="290" spans="8:8" ht="15.75" customHeight="1"/>
    <row r="291" spans="8:8" ht="15.75" customHeight="1"/>
    <row r="292" spans="8:8" ht="15.75" customHeight="1"/>
    <row r="293" spans="8:8" ht="15.75" customHeight="1"/>
    <row r="294" spans="8:8" ht="15.75" customHeight="1"/>
    <row r="295" spans="8:8" ht="15.75" customHeight="1"/>
    <row r="296" spans="8:8" ht="15.75" customHeight="1"/>
    <row r="297" spans="8:8" ht="15.75" customHeight="1"/>
    <row r="298" spans="8:8" ht="15.75" customHeight="1"/>
    <row r="299" spans="8:8" ht="15.75" customHeight="1"/>
    <row r="300" spans="8:8" ht="15.75" customHeight="1"/>
    <row r="301" spans="8:8" ht="15.75" customHeight="1"/>
    <row r="302" spans="8:8" ht="15.75" customHeight="1"/>
    <row r="303" spans="8:8" ht="15.75" customHeight="1"/>
    <row r="304" spans="8:8" ht="15.75" customHeight="1"/>
    <row r="305" spans="8:8" ht="15.75" customHeight="1"/>
    <row r="306" spans="8:8" ht="15.75" customHeight="1"/>
    <row r="307" spans="8:8" ht="15.75" customHeight="1"/>
    <row r="308" spans="8:8" ht="15.75" customHeight="1"/>
    <row r="309" spans="8:8" ht="15.75" customHeight="1"/>
    <row r="310" spans="8:8" ht="15.75" customHeight="1"/>
    <row r="311" spans="8:8" ht="15.75" customHeight="1"/>
    <row r="312" spans="8:8" ht="15.75" customHeight="1"/>
    <row r="313" spans="8:8" ht="15.75" customHeight="1"/>
    <row r="314" spans="8:8" ht="15.75" customHeight="1"/>
    <row r="315" spans="8:8" ht="15.75" customHeight="1"/>
    <row r="316" spans="8:8" ht="15.75" customHeight="1"/>
    <row r="317" spans="8:8" ht="15.75" customHeight="1"/>
    <row r="318" spans="8:8" ht="15.75" customHeight="1"/>
    <row r="319" spans="8:8" ht="15.75" customHeight="1"/>
    <row r="320" spans="8:8" ht="15.75" customHeight="1"/>
    <row r="321" spans="8:8" ht="15.75" customHeight="1"/>
    <row r="322" spans="8:8" ht="15.75" customHeight="1"/>
    <row r="323" spans="8:8" ht="15.75" customHeight="1"/>
    <row r="324" spans="8:8" ht="15.75" customHeight="1"/>
    <row r="325" spans="8:8" ht="15.75" customHeight="1"/>
    <row r="326" spans="8:8" ht="15.75" customHeight="1"/>
    <row r="327" spans="8:8" ht="15.75" customHeight="1"/>
    <row r="328" spans="8:8" ht="15.75" customHeight="1"/>
    <row r="329" spans="8:8" ht="15.75" customHeight="1"/>
    <row r="330" spans="8:8" ht="15.75" customHeight="1"/>
    <row r="331" spans="8:8" ht="15.75" customHeight="1"/>
    <row r="332" spans="8:8" ht="15.75" customHeight="1"/>
    <row r="333" spans="8:8" ht="15.75" customHeight="1"/>
    <row r="334" spans="8:8" ht="15.75" customHeight="1"/>
    <row r="335" spans="8:8" ht="15.75" customHeight="1"/>
    <row r="336" spans="8:8" ht="15.75" customHeight="1"/>
    <row r="337" spans="8:8" ht="15.75" customHeight="1"/>
    <row r="338" spans="8:8" ht="15.75" customHeight="1"/>
    <row r="339" spans="8:8" ht="15.75" customHeight="1"/>
    <row r="340" spans="8:8" ht="15.75" customHeight="1"/>
    <row r="341" spans="8:8" ht="15.75" customHeight="1"/>
    <row r="342" spans="8:8" ht="15.75" customHeight="1"/>
    <row r="343" spans="8:8" ht="15.75" customHeight="1"/>
    <row r="344" spans="8:8" ht="15.75" customHeight="1"/>
    <row r="345" spans="8:8" ht="15.75" customHeight="1"/>
    <row r="346" spans="8:8" ht="15.75" customHeight="1"/>
    <row r="347" spans="8:8" ht="15.75" customHeight="1"/>
    <row r="348" spans="8:8" ht="15.75" customHeight="1"/>
    <row r="349" spans="8:8" ht="15.75" customHeight="1"/>
    <row r="350" spans="8:8" ht="15.75" customHeight="1"/>
    <row r="351" spans="8:8" ht="15.75" customHeight="1"/>
    <row r="352" spans="8:8" ht="15.75" customHeight="1"/>
    <row r="353" spans="8:8" ht="15.75" customHeight="1"/>
    <row r="354" spans="8:8" ht="15.75" customHeight="1"/>
    <row r="355" spans="8:8" ht="15.75" customHeight="1"/>
    <row r="356" spans="8:8" ht="15.75" customHeight="1"/>
    <row r="357" spans="8:8" ht="15.75" customHeight="1"/>
    <row r="358" spans="8:8" ht="15.75" customHeight="1"/>
    <row r="359" spans="8:8" ht="15.75" customHeight="1"/>
    <row r="360" spans="8:8" ht="15.75" customHeight="1"/>
    <row r="361" spans="8:8" ht="15.75" customHeight="1"/>
    <row r="362" spans="8:8" ht="15.75" customHeight="1"/>
    <row r="363" spans="8:8" ht="15.75" customHeight="1"/>
    <row r="364" spans="8:8" ht="15.75" customHeight="1"/>
    <row r="365" spans="8:8" ht="15.75" customHeight="1"/>
    <row r="366" spans="8:8" ht="15.75" customHeight="1"/>
    <row r="367" spans="8:8" ht="15.75" customHeight="1"/>
    <row r="368" spans="8:8" ht="15.75" customHeight="1"/>
    <row r="369" spans="8:8" ht="15.75" customHeight="1"/>
    <row r="370" spans="8:8" ht="15.75" customHeight="1"/>
    <row r="371" spans="8:8" ht="15.75" customHeight="1"/>
    <row r="372" spans="8:8" ht="15.75" customHeight="1"/>
    <row r="373" spans="8:8" ht="15.75" customHeight="1"/>
    <row r="374" spans="8:8" ht="15.75" customHeight="1"/>
    <row r="375" spans="8:8" ht="15.75" customHeight="1"/>
    <row r="376" spans="8:8" ht="15.75" customHeight="1"/>
    <row r="377" spans="8:8" ht="15.75" customHeight="1"/>
    <row r="378" spans="8:8" ht="15.75" customHeight="1"/>
    <row r="379" spans="8:8" ht="15.75" customHeight="1"/>
    <row r="380" spans="8:8" ht="15.75" customHeight="1"/>
    <row r="381" spans="8:8" ht="15.75" customHeight="1"/>
    <row r="382" spans="8:8" ht="15.75" customHeight="1"/>
    <row r="383" spans="8:8" ht="15.75" customHeight="1"/>
    <row r="384" spans="8:8" ht="15.75" customHeight="1"/>
    <row r="385" spans="8:8" ht="15.75" customHeight="1"/>
    <row r="386" spans="8:8" ht="15.75" customHeight="1"/>
    <row r="387" spans="8:8" ht="15.75" customHeight="1"/>
    <row r="388" spans="8:8" ht="15.75" customHeight="1"/>
    <row r="389" spans="8:8" ht="15.75" customHeight="1"/>
    <row r="390" spans="8:8" ht="15.75" customHeight="1"/>
    <row r="391" spans="8:8" ht="15.75" customHeight="1"/>
    <row r="392" spans="8:8" ht="15.75" customHeight="1"/>
    <row r="393" spans="8:8" ht="15.75" customHeight="1"/>
    <row r="394" spans="8:8" ht="15.75" customHeight="1"/>
    <row r="395" spans="8:8" ht="15.75" customHeight="1"/>
    <row r="396" spans="8:8" ht="15.75" customHeight="1"/>
    <row r="397" spans="8:8" ht="15.75" customHeight="1"/>
    <row r="398" spans="8:8" ht="15.75" customHeight="1"/>
    <row r="399" spans="8:8" ht="15.75" customHeight="1"/>
    <row r="400" spans="8:8" ht="15.75" customHeight="1"/>
    <row r="401" spans="8:8" ht="15.75" customHeight="1"/>
    <row r="402" spans="8:8" ht="15.75" customHeight="1"/>
    <row r="403" spans="8:8" ht="15.75" customHeight="1"/>
    <row r="404" spans="8:8" ht="15.75" customHeight="1"/>
    <row r="405" spans="8:8" ht="15.75" customHeight="1"/>
    <row r="406" spans="8:8" ht="15.75" customHeight="1"/>
    <row r="407" spans="8:8" ht="15.75" customHeight="1"/>
    <row r="408" spans="8:8" ht="15.75" customHeight="1"/>
    <row r="409" spans="8:8" ht="15.75" customHeight="1"/>
    <row r="410" spans="8:8" ht="15.75" customHeight="1"/>
    <row r="411" spans="8:8" ht="15.75" customHeight="1"/>
    <row r="412" spans="8:8" ht="15.75" customHeight="1"/>
    <row r="413" spans="8:8" ht="15.75" customHeight="1"/>
    <row r="414" spans="8:8" ht="15.75" customHeight="1"/>
    <row r="415" spans="8:8" ht="15.75" customHeight="1"/>
    <row r="416" spans="8:8" ht="15.75" customHeight="1"/>
    <row r="417" spans="8:8" ht="15.75" customHeight="1"/>
    <row r="418" spans="8:8" ht="15.75" customHeight="1"/>
    <row r="419" spans="8:8" ht="15.75" customHeight="1"/>
    <row r="420" spans="8:8" ht="15.75" customHeight="1"/>
    <row r="421" spans="8:8" ht="15.75" customHeight="1"/>
    <row r="422" spans="8:8" ht="15.75" customHeight="1"/>
    <row r="423" spans="8:8" ht="15.75" customHeight="1"/>
    <row r="424" spans="8:8" ht="15.75" customHeight="1"/>
    <row r="425" spans="8:8" ht="15.75" customHeight="1"/>
    <row r="426" spans="8:8" ht="15.75" customHeight="1"/>
    <row r="427" spans="8:8" ht="15.75" customHeight="1"/>
    <row r="428" spans="8:8" ht="15.75" customHeight="1"/>
    <row r="429" spans="8:8" ht="15.75" customHeight="1"/>
    <row r="430" spans="8:8" ht="15.75" customHeight="1"/>
    <row r="431" spans="8:8" ht="15.75" customHeight="1"/>
    <row r="432" spans="8:8" ht="15.75" customHeight="1"/>
    <row r="433" spans="8:8" ht="15.75" customHeight="1"/>
    <row r="434" spans="8:8" ht="15.75" customHeight="1"/>
    <row r="435" spans="8:8" ht="15.75" customHeight="1"/>
    <row r="436" spans="8:8" ht="15.75" customHeight="1"/>
    <row r="437" spans="8:8" ht="15.75" customHeight="1"/>
    <row r="438" spans="8:8" ht="15.75" customHeight="1"/>
    <row r="439" spans="8:8" ht="15.75" customHeight="1"/>
    <row r="440" spans="8:8" ht="15.75" customHeight="1"/>
    <row r="441" spans="8:8" ht="15.75" customHeight="1"/>
    <row r="442" spans="8:8" ht="15.75" customHeight="1"/>
    <row r="443" spans="8:8" ht="15.75" customHeight="1"/>
    <row r="444" spans="8:8" ht="15.75" customHeight="1"/>
    <row r="445" spans="8:8" ht="15.75" customHeight="1"/>
    <row r="446" spans="8:8" ht="15.75" customHeight="1"/>
    <row r="447" spans="8:8" ht="15.75" customHeight="1"/>
    <row r="448" spans="8:8" ht="15.75" customHeight="1"/>
    <row r="449" spans="8:8" ht="15.75" customHeight="1"/>
    <row r="450" spans="8:8" ht="15.75" customHeight="1"/>
    <row r="451" spans="8:8" ht="15.75" customHeight="1"/>
    <row r="452" spans="8:8" ht="15.75" customHeight="1"/>
    <row r="453" spans="8:8" ht="15.75" customHeight="1"/>
    <row r="454" spans="8:8" ht="15.75" customHeight="1"/>
    <row r="455" spans="8:8" ht="15.75" customHeight="1"/>
    <row r="456" spans="8:8" ht="15.75" customHeight="1"/>
    <row r="457" spans="8:8" ht="15.75" customHeight="1"/>
    <row r="458" spans="8:8" ht="15.75" customHeight="1"/>
    <row r="459" spans="8:8" ht="15.75" customHeight="1"/>
    <row r="460" spans="8:8" ht="15.75" customHeight="1"/>
    <row r="461" spans="8:8" ht="15.75" customHeight="1"/>
    <row r="462" spans="8:8" ht="15.75" customHeight="1"/>
    <row r="463" spans="8:8" ht="15.75" customHeight="1"/>
    <row r="464" spans="8:8" ht="15.75" customHeight="1"/>
    <row r="465" spans="8:8" ht="15.75" customHeight="1"/>
    <row r="466" spans="8:8" ht="15.75" customHeight="1"/>
    <row r="467" spans="8:8" ht="15.75" customHeight="1"/>
    <row r="468" spans="8:8" ht="15.75" customHeight="1"/>
    <row r="469" spans="8:8" ht="15.75" customHeight="1"/>
    <row r="470" spans="8:8" ht="15.75" customHeight="1"/>
    <row r="471" spans="8:8" ht="15.75" customHeight="1"/>
    <row r="472" spans="8:8" ht="15.75" customHeight="1"/>
    <row r="473" spans="8:8" ht="15.75" customHeight="1"/>
    <row r="474" spans="8:8" ht="15.75" customHeight="1"/>
    <row r="475" spans="8:8" ht="15.75" customHeight="1"/>
    <row r="476" spans="8:8" ht="15.75" customHeight="1"/>
    <row r="477" spans="8:8" ht="15.75" customHeight="1"/>
    <row r="478" spans="8:8" ht="15.75" customHeight="1"/>
    <row r="479" spans="8:8" ht="15.75" customHeight="1"/>
    <row r="480" spans="8:8" ht="15.75" customHeight="1"/>
    <row r="481" spans="8:8" ht="15.75" customHeight="1"/>
    <row r="482" spans="8:8" ht="15.75" customHeight="1"/>
    <row r="483" spans="8:8" ht="15.75" customHeight="1"/>
    <row r="484" spans="8:8" ht="15.75" customHeight="1"/>
    <row r="485" spans="8:8" ht="15.75" customHeight="1"/>
    <row r="486" spans="8:8" ht="15.75" customHeight="1"/>
    <row r="487" spans="8:8" ht="15.75" customHeight="1"/>
    <row r="488" spans="8:8" ht="15.75" customHeight="1"/>
    <row r="489" spans="8:8" ht="15.75" customHeight="1"/>
    <row r="490" spans="8:8" ht="15.75" customHeight="1"/>
    <row r="491" spans="8:8" ht="15.75" customHeight="1"/>
    <row r="492" spans="8:8" ht="15.75" customHeight="1"/>
    <row r="493" spans="8:8" ht="15.75" customHeight="1"/>
    <row r="494" spans="8:8" ht="15.75" customHeight="1"/>
    <row r="495" spans="8:8" ht="15.75" customHeight="1"/>
    <row r="496" spans="8:8" ht="15.75" customHeight="1"/>
    <row r="497" spans="8:8" ht="15.75" customHeight="1"/>
    <row r="498" spans="8:8" ht="15.75" customHeight="1"/>
    <row r="499" spans="8:8" ht="15.75" customHeight="1"/>
    <row r="500" spans="8:8" ht="15.75" customHeight="1"/>
    <row r="501" spans="8:8" ht="15.75" customHeight="1"/>
    <row r="502" spans="8:8" ht="15.75" customHeight="1"/>
    <row r="503" spans="8:8" ht="15.75" customHeight="1"/>
    <row r="504" spans="8:8" ht="15.75" customHeight="1"/>
    <row r="505" spans="8:8" ht="15.75" customHeight="1"/>
    <row r="506" spans="8:8" ht="15.75" customHeight="1"/>
    <row r="507" spans="8:8" ht="15.75" customHeight="1"/>
    <row r="508" spans="8:8" ht="15.75" customHeight="1"/>
    <row r="509" spans="8:8" ht="15.75" customHeight="1"/>
    <row r="510" spans="8:8" ht="15.75" customHeight="1"/>
    <row r="511" spans="8:8" ht="15.75" customHeight="1"/>
    <row r="512" spans="8:8" ht="15.75" customHeight="1"/>
    <row r="513" spans="8:8" ht="15.75" customHeight="1"/>
    <row r="514" spans="8:8" ht="15.75" customHeight="1"/>
    <row r="515" spans="8:8" ht="15.75" customHeight="1"/>
    <row r="516" spans="8:8" ht="15.75" customHeight="1"/>
    <row r="517" spans="8:8" ht="15.75" customHeight="1"/>
    <row r="518" spans="8:8" ht="15.75" customHeight="1"/>
    <row r="519" spans="8:8" ht="15.75" customHeight="1"/>
    <row r="520" spans="8:8" ht="15.75" customHeight="1"/>
    <row r="521" spans="8:8" ht="15.75" customHeight="1"/>
    <row r="522" spans="8:8" ht="15.75" customHeight="1"/>
    <row r="523" spans="8:8" ht="15.75" customHeight="1"/>
    <row r="524" spans="8:8" ht="15.75" customHeight="1"/>
    <row r="525" spans="8:8" ht="15.75" customHeight="1"/>
    <row r="526" spans="8:8" ht="15.75" customHeight="1"/>
    <row r="527" spans="8:8" ht="15.75" customHeight="1"/>
    <row r="528" spans="8:8" ht="15.75" customHeight="1"/>
    <row r="529" spans="8:8" ht="15.75" customHeight="1"/>
    <row r="530" spans="8:8" ht="15.75" customHeight="1"/>
    <row r="531" spans="8:8" ht="15.75" customHeight="1"/>
    <row r="532" spans="8:8" ht="15.75" customHeight="1"/>
    <row r="533" spans="8:8" ht="15.75" customHeight="1"/>
    <row r="534" spans="8:8" ht="15.75" customHeight="1"/>
    <row r="535" spans="8:8" ht="15.75" customHeight="1"/>
    <row r="536" spans="8:8" ht="15.75" customHeight="1"/>
    <row r="537" spans="8:8" ht="15.75" customHeight="1"/>
    <row r="538" spans="8:8" ht="15.75" customHeight="1"/>
    <row r="539" spans="8:8" ht="15.75" customHeight="1"/>
    <row r="540" spans="8:8" ht="15.75" customHeight="1"/>
    <row r="541" spans="8:8" ht="15.75" customHeight="1"/>
    <row r="542" spans="8:8" ht="15.75" customHeight="1"/>
    <row r="543" spans="8:8" ht="15.75" customHeight="1"/>
    <row r="544" spans="8:8" ht="15.75" customHeight="1"/>
    <row r="545" spans="8:8" ht="15.75" customHeight="1"/>
    <row r="546" spans="8:8" ht="15.75" customHeight="1"/>
    <row r="547" spans="8:8" ht="15.75" customHeight="1"/>
    <row r="548" spans="8:8" ht="15.75" customHeight="1"/>
    <row r="549" spans="8:8" ht="15.75" customHeight="1"/>
    <row r="550" spans="8:8" ht="15.75" customHeight="1"/>
    <row r="551" spans="8:8" ht="15.75" customHeight="1"/>
    <row r="552" spans="8:8" ht="15.75" customHeight="1"/>
    <row r="553" spans="8:8" ht="15.75" customHeight="1"/>
    <row r="554" spans="8:8" ht="15.75" customHeight="1"/>
    <row r="555" spans="8:8" ht="15.75" customHeight="1"/>
    <row r="556" spans="8:8" ht="15.75" customHeight="1"/>
    <row r="557" spans="8:8" ht="15.75" customHeight="1"/>
    <row r="558" spans="8:8" ht="15.75" customHeight="1"/>
    <row r="559" spans="8:8" ht="15.75" customHeight="1"/>
    <row r="560" spans="8:8" ht="15.75" customHeight="1"/>
    <row r="561" spans="8:8" ht="15.75" customHeight="1"/>
    <row r="562" spans="8:8" ht="15.75" customHeight="1"/>
    <row r="563" spans="8:8" ht="15.75" customHeight="1"/>
    <row r="564" spans="8:8" ht="15.75" customHeight="1"/>
    <row r="565" spans="8:8" ht="15.75" customHeight="1"/>
    <row r="566" spans="8:8" ht="15.75" customHeight="1"/>
    <row r="567" spans="8:8" ht="15.75" customHeight="1"/>
    <row r="568" spans="8:8" ht="15.75" customHeight="1"/>
    <row r="569" spans="8:8" ht="15.75" customHeight="1"/>
    <row r="570" spans="8:8" ht="15.75" customHeight="1"/>
    <row r="571" spans="8:8" ht="15.75" customHeight="1"/>
    <row r="572" spans="8:8" ht="15.75" customHeight="1"/>
    <row r="573" spans="8:8" ht="15.75" customHeight="1"/>
    <row r="574" spans="8:8" ht="15.75" customHeight="1"/>
    <row r="575" spans="8:8" ht="15.75" customHeight="1"/>
    <row r="576" spans="8:8" ht="15.75" customHeight="1"/>
    <row r="577" spans="8:8" ht="15.75" customHeight="1"/>
    <row r="578" spans="8:8" ht="15.75" customHeight="1"/>
    <row r="579" spans="8:8" ht="15.75" customHeight="1"/>
    <row r="580" spans="8:8" ht="15.75" customHeight="1"/>
    <row r="581" spans="8:8" ht="15.75" customHeight="1"/>
    <row r="582" spans="8:8" ht="15.75" customHeight="1"/>
    <row r="583" spans="8:8" ht="15.75" customHeight="1"/>
    <row r="584" spans="8:8" ht="15.75" customHeight="1"/>
    <row r="585" spans="8:8" ht="15.75" customHeight="1"/>
    <row r="586" spans="8:8" ht="15.75" customHeight="1"/>
    <row r="587" spans="8:8" ht="15.75" customHeight="1"/>
    <row r="588" spans="8:8" ht="15.75" customHeight="1"/>
    <row r="589" spans="8:8" ht="15.75" customHeight="1"/>
    <row r="590" spans="8:8" ht="15.75" customHeight="1"/>
    <row r="591" spans="8:8" ht="15.75" customHeight="1"/>
    <row r="592" spans="8:8" ht="15.75" customHeight="1"/>
    <row r="593" spans="8:8" ht="15.75" customHeight="1"/>
    <row r="594" spans="8:8" ht="15.75" customHeight="1"/>
    <row r="595" spans="8:8" ht="15.75" customHeight="1"/>
    <row r="596" spans="8:8" ht="15.75" customHeight="1"/>
    <row r="597" spans="8:8" ht="15.75" customHeight="1"/>
    <row r="598" spans="8:8" ht="15.75" customHeight="1"/>
    <row r="599" spans="8:8" ht="15.75" customHeight="1"/>
    <row r="600" spans="8:8" ht="15.75" customHeight="1"/>
    <row r="601" spans="8:8" ht="15.75" customHeight="1"/>
    <row r="602" spans="8:8" ht="15.75" customHeight="1"/>
    <row r="603" spans="8:8" ht="15.75" customHeight="1"/>
    <row r="604" spans="8:8" ht="15.75" customHeight="1"/>
    <row r="605" spans="8:8" ht="15.75" customHeight="1"/>
    <row r="606" spans="8:8" ht="15.75" customHeight="1"/>
    <row r="607" spans="8:8" ht="15.75" customHeight="1"/>
    <row r="608" spans="8:8" ht="15.75" customHeight="1"/>
    <row r="609" spans="8:8" ht="15.75" customHeight="1"/>
    <row r="610" spans="8:8" ht="15.75" customHeight="1"/>
    <row r="611" spans="8:8" ht="15.75" customHeight="1"/>
    <row r="612" spans="8:8" ht="15.75" customHeight="1"/>
    <row r="613" spans="8:8" ht="15.75" customHeight="1"/>
    <row r="614" spans="8:8" ht="15.75" customHeight="1"/>
    <row r="615" spans="8:8" ht="15.75" customHeight="1"/>
    <row r="616" spans="8:8" ht="15.75" customHeight="1"/>
    <row r="617" spans="8:8" ht="15.75" customHeight="1"/>
    <row r="618" spans="8:8" ht="15.75" customHeight="1"/>
    <row r="619" spans="8:8" ht="15.75" customHeight="1"/>
    <row r="620" spans="8:8" ht="15.75" customHeight="1"/>
    <row r="621" spans="8:8" ht="15.75" customHeight="1"/>
    <row r="622" spans="8:8" ht="15.75" customHeight="1"/>
    <row r="623" spans="8:8" ht="15.75" customHeight="1"/>
    <row r="624" spans="8:8" ht="15.75" customHeight="1"/>
    <row r="625" spans="8:8" ht="15.75" customHeight="1"/>
    <row r="626" spans="8:8" ht="15.75" customHeight="1"/>
    <row r="627" spans="8:8" ht="15.75" customHeight="1"/>
    <row r="628" spans="8:8" ht="15.75" customHeight="1"/>
    <row r="629" spans="8:8" ht="15.75" customHeight="1"/>
    <row r="630" spans="8:8" ht="15.75" customHeight="1"/>
    <row r="631" spans="8:8" ht="15.75" customHeight="1"/>
    <row r="632" spans="8:8" ht="15.75" customHeight="1"/>
    <row r="633" spans="8:8" ht="15.75" customHeight="1"/>
    <row r="634" spans="8:8" ht="15.75" customHeight="1"/>
    <row r="635" spans="8:8" ht="15.75" customHeight="1"/>
    <row r="636" spans="8:8" ht="15.75" customHeight="1"/>
    <row r="637" spans="8:8" ht="15.75" customHeight="1"/>
    <row r="638" spans="8:8" ht="15.75" customHeight="1"/>
    <row r="639" spans="8:8" ht="15.75" customHeight="1"/>
    <row r="640" spans="8:8" ht="15.75" customHeight="1"/>
    <row r="641" spans="8:8" ht="15.75" customHeight="1"/>
    <row r="642" spans="8:8" ht="15.75" customHeight="1"/>
    <row r="643" spans="8:8" ht="15.75" customHeight="1"/>
    <row r="644" spans="8:8" ht="15.75" customHeight="1"/>
    <row r="645" spans="8:8" ht="15.75" customHeight="1"/>
    <row r="646" spans="8:8" ht="15.75" customHeight="1"/>
    <row r="647" spans="8:8" ht="15.75" customHeight="1"/>
    <row r="648" spans="8:8" ht="15.75" customHeight="1"/>
    <row r="649" spans="8:8" ht="15.75" customHeight="1"/>
    <row r="650" spans="8:8" ht="15.75" customHeight="1"/>
    <row r="651" spans="8:8" ht="15.75" customHeight="1"/>
    <row r="652" spans="8:8" ht="15.75" customHeight="1"/>
    <row r="653" spans="8:8" ht="15.75" customHeight="1"/>
    <row r="654" spans="8:8" ht="15.75" customHeight="1"/>
    <row r="655" spans="8:8" ht="15.75" customHeight="1"/>
    <row r="656" spans="8:8" ht="15.75" customHeight="1"/>
    <row r="657" spans="8:8" ht="15.75" customHeight="1"/>
    <row r="658" spans="8:8" ht="15.75" customHeight="1"/>
    <row r="659" spans="8:8" ht="15.75" customHeight="1"/>
    <row r="660" spans="8:8" ht="15.75" customHeight="1"/>
    <row r="661" spans="8:8" ht="15.75" customHeight="1"/>
    <row r="662" spans="8:8" ht="15.75" customHeight="1"/>
    <row r="663" spans="8:8" ht="15.75" customHeight="1"/>
    <row r="664" spans="8:8" ht="15.75" customHeight="1"/>
    <row r="665" spans="8:8" ht="15.75" customHeight="1"/>
    <row r="666" spans="8:8" ht="15.75" customHeight="1"/>
    <row r="667" spans="8:8" ht="15.75" customHeight="1"/>
    <row r="668" spans="8:8" ht="15.75" customHeight="1"/>
    <row r="669" spans="8:8" ht="15.75" customHeight="1"/>
    <row r="670" spans="8:8" ht="15.75" customHeight="1"/>
    <row r="671" spans="8:8" ht="15.75" customHeight="1"/>
    <row r="672" spans="8:8" ht="15.75" customHeight="1"/>
    <row r="673" spans="8:8" ht="15.75" customHeight="1"/>
    <row r="674" spans="8:8" ht="15.75" customHeight="1"/>
    <row r="675" spans="8:8" ht="15.75" customHeight="1"/>
    <row r="676" spans="8:8" ht="15.75" customHeight="1"/>
    <row r="677" spans="8:8" ht="15.75" customHeight="1"/>
    <row r="678" spans="8:8" ht="15.75" customHeight="1"/>
    <row r="679" spans="8:8" ht="15.75" customHeight="1"/>
    <row r="680" spans="8:8" ht="15.75" customHeight="1"/>
    <row r="681" spans="8:8" ht="15.75" customHeight="1"/>
    <row r="682" spans="8:8" ht="15.75" customHeight="1"/>
    <row r="683" spans="8:8" ht="15.75" customHeight="1"/>
    <row r="684" spans="8:8" ht="15.75" customHeight="1"/>
    <row r="685" spans="8:8" ht="15.75" customHeight="1"/>
    <row r="686" spans="8:8" ht="15.75" customHeight="1"/>
    <row r="687" spans="8:8" ht="15.75" customHeight="1"/>
    <row r="688" spans="8:8" ht="15.75" customHeight="1"/>
    <row r="689" spans="8:8" ht="15.75" customHeight="1"/>
    <row r="690" spans="8:8" ht="15.75" customHeight="1"/>
    <row r="691" spans="8:8" ht="15.75" customHeight="1"/>
    <row r="692" spans="8:8" ht="15.75" customHeight="1"/>
    <row r="693" spans="8:8" ht="15.75" customHeight="1"/>
    <row r="694" spans="8:8" ht="15.75" customHeight="1"/>
    <row r="695" spans="8:8" ht="15.75" customHeight="1"/>
    <row r="696" spans="8:8" ht="15.75" customHeight="1"/>
    <row r="697" spans="8:8" ht="15.75" customHeight="1"/>
    <row r="698" spans="8:8" ht="15.75" customHeight="1"/>
    <row r="699" spans="8:8" ht="15.75" customHeight="1"/>
    <row r="700" spans="8:8" ht="15.75" customHeight="1"/>
    <row r="701" spans="8:8" ht="15.75" customHeight="1"/>
    <row r="702" spans="8:8" ht="15.75" customHeight="1"/>
    <row r="703" spans="8:8" ht="15.75" customHeight="1"/>
    <row r="704" spans="8:8" ht="15.75" customHeight="1"/>
    <row r="705" spans="8:8" ht="15.75" customHeight="1"/>
    <row r="706" spans="8:8" ht="15.75" customHeight="1"/>
    <row r="707" spans="8:8" ht="15.75" customHeight="1"/>
    <row r="708" spans="8:8" ht="15.75" customHeight="1"/>
    <row r="709" spans="8:8" ht="15.75" customHeight="1"/>
    <row r="710" spans="8:8" ht="15.75" customHeight="1"/>
    <row r="711" spans="8:8" ht="15.75" customHeight="1"/>
    <row r="712" spans="8:8" ht="15.75" customHeight="1"/>
    <row r="713" spans="8:8" ht="15.75" customHeight="1"/>
    <row r="714" spans="8:8" ht="15.75" customHeight="1"/>
    <row r="715" spans="8:8" ht="15.75" customHeight="1"/>
    <row r="716" spans="8:8" ht="15.75" customHeight="1"/>
    <row r="717" spans="8:8" ht="15.75" customHeight="1"/>
    <row r="718" spans="8:8" ht="15.75" customHeight="1"/>
    <row r="719" spans="8:8" ht="15.75" customHeight="1"/>
    <row r="720" spans="8:8" ht="15.75" customHeight="1"/>
    <row r="721" spans="8:8" ht="15.75" customHeight="1"/>
    <row r="722" spans="8:8" ht="15.75" customHeight="1"/>
    <row r="723" spans="8:8" ht="15.75" customHeight="1"/>
    <row r="724" spans="8:8" ht="15.75" customHeight="1"/>
    <row r="725" spans="8:8" ht="15.75" customHeight="1"/>
    <row r="726" spans="8:8" ht="15.75" customHeight="1"/>
    <row r="727" spans="8:8" ht="15.75" customHeight="1"/>
    <row r="728" spans="8:8" ht="15.75" customHeight="1"/>
    <row r="729" spans="8:8" ht="15.75" customHeight="1"/>
    <row r="730" spans="8:8" ht="15.75" customHeight="1"/>
    <row r="731" spans="8:8" ht="15.75" customHeight="1"/>
    <row r="732" spans="8:8" ht="15.75" customHeight="1"/>
    <row r="733" spans="8:8" ht="15.75" customHeight="1"/>
    <row r="734" spans="8:8" ht="15.75" customHeight="1"/>
    <row r="735" spans="8:8" ht="15.75" customHeight="1"/>
    <row r="736" spans="8:8" ht="15.75" customHeight="1"/>
    <row r="737" spans="8:8" ht="15.75" customHeight="1"/>
    <row r="738" spans="8:8" ht="15.75" customHeight="1"/>
    <row r="739" spans="8:8" ht="15.75" customHeight="1"/>
    <row r="740" spans="8:8" ht="15.75" customHeight="1"/>
    <row r="741" spans="8:8" ht="15.75" customHeight="1"/>
    <row r="742" spans="8:8" ht="15.75" customHeight="1"/>
    <row r="743" spans="8:8" ht="15.75" customHeight="1"/>
    <row r="744" spans="8:8" ht="15.75" customHeight="1"/>
    <row r="745" spans="8:8" ht="15.75" customHeight="1"/>
    <row r="746" spans="8:8" ht="15.75" customHeight="1"/>
    <row r="747" spans="8:8" ht="15.75" customHeight="1"/>
    <row r="748" spans="8:8" ht="15.75" customHeight="1"/>
    <row r="749" spans="8:8" ht="15.75" customHeight="1"/>
    <row r="750" spans="8:8" ht="15.75" customHeight="1"/>
    <row r="751" spans="8:8" ht="15.75" customHeight="1"/>
    <row r="752" spans="8:8" ht="15.75" customHeight="1"/>
    <row r="753" spans="8:8" ht="15.75" customHeight="1"/>
    <row r="754" spans="8:8" ht="15.75" customHeight="1"/>
    <row r="755" spans="8:8" ht="15.75" customHeight="1"/>
    <row r="756" spans="8:8" ht="15.75" customHeight="1"/>
    <row r="757" spans="8:8" ht="15.75" customHeight="1"/>
    <row r="758" spans="8:8" ht="15.75" customHeight="1"/>
    <row r="759" spans="8:8" ht="15.75" customHeight="1"/>
    <row r="760" spans="8:8" ht="15.75" customHeight="1"/>
    <row r="761" spans="8:8" ht="15.75" customHeight="1"/>
    <row r="762" spans="8:8" ht="15.75" customHeight="1"/>
    <row r="763" spans="8:8" ht="15.75" customHeight="1"/>
    <row r="764" spans="8:8" ht="15.75" customHeight="1"/>
    <row r="765" spans="8:8" ht="15.75" customHeight="1"/>
    <row r="766" spans="8:8" ht="15.75" customHeight="1"/>
    <row r="767" spans="8:8" ht="15.75" customHeight="1"/>
    <row r="768" spans="8:8" ht="15.75" customHeight="1"/>
    <row r="769" spans="8:8" ht="15.75" customHeight="1"/>
    <row r="770" spans="8:8" ht="15.75" customHeight="1"/>
    <row r="771" spans="8:8" ht="15.75" customHeight="1"/>
    <row r="772" spans="8:8" ht="15.75" customHeight="1"/>
    <row r="773" spans="8:8" ht="15.75" customHeight="1"/>
    <row r="774" spans="8:8" ht="15.75" customHeight="1"/>
    <row r="775" spans="8:8" ht="15.75" customHeight="1"/>
    <row r="776" spans="8:8" ht="15.75" customHeight="1"/>
    <row r="777" spans="8:8" ht="15.75" customHeight="1"/>
    <row r="778" spans="8:8" ht="15.75" customHeight="1"/>
    <row r="779" spans="8:8" ht="15.75" customHeight="1"/>
    <row r="780" spans="8:8" ht="15.75" customHeight="1"/>
    <row r="781" spans="8:8" ht="15.75" customHeight="1"/>
    <row r="782" spans="8:8" ht="15.75" customHeight="1"/>
    <row r="783" spans="8:8" ht="15.75" customHeight="1"/>
    <row r="784" spans="8:8" ht="15.75" customHeight="1"/>
    <row r="785" spans="8:8" ht="15.75" customHeight="1"/>
    <row r="786" spans="8:8" ht="15.75" customHeight="1"/>
    <row r="787" spans="8:8" ht="15.75" customHeight="1"/>
    <row r="788" spans="8:8" ht="15.75" customHeight="1"/>
    <row r="789" spans="8:8" ht="15.75" customHeight="1"/>
    <row r="790" spans="8:8" ht="15.75" customHeight="1"/>
    <row r="791" spans="8:8" ht="15.75" customHeight="1"/>
    <row r="792" spans="8:8" ht="15.75" customHeight="1"/>
    <row r="793" spans="8:8" ht="15.75" customHeight="1"/>
    <row r="794" spans="8:8" ht="15.75" customHeight="1"/>
    <row r="795" spans="8:8" ht="15.75" customHeight="1"/>
    <row r="796" spans="8:8" ht="15.75" customHeight="1"/>
    <row r="797" spans="8:8" ht="15.75" customHeight="1"/>
    <row r="798" spans="8:8" ht="15.75" customHeight="1"/>
    <row r="799" spans="8:8" ht="15.75" customHeight="1"/>
    <row r="800" spans="8:8" ht="15.75" customHeight="1"/>
    <row r="801" spans="8:8" ht="15.75" customHeight="1"/>
    <row r="802" spans="8:8" ht="15.75" customHeight="1"/>
    <row r="803" spans="8:8" ht="15.75" customHeight="1"/>
    <row r="804" spans="8:8" ht="15.75" customHeight="1"/>
    <row r="805" spans="8:8" ht="15.75" customHeight="1"/>
    <row r="806" spans="8:8" ht="15.75" customHeight="1"/>
    <row r="807" spans="8:8" ht="15.75" customHeight="1"/>
    <row r="808" spans="8:8" ht="15.75" customHeight="1"/>
    <row r="809" spans="8:8" ht="15.75" customHeight="1"/>
    <row r="810" spans="8:8" ht="15.75" customHeight="1"/>
    <row r="811" spans="8:8" ht="15.75" customHeight="1"/>
    <row r="812" spans="8:8" ht="15.75" customHeight="1"/>
    <row r="813" spans="8:8" ht="15.75" customHeight="1"/>
    <row r="814" spans="8:8" ht="15.75" customHeight="1"/>
    <row r="815" spans="8:8" ht="15.75" customHeight="1"/>
    <row r="816" spans="8:8" ht="15.75" customHeight="1"/>
    <row r="817" spans="8:8" ht="15.75" customHeight="1"/>
    <row r="818" spans="8:8" ht="15.75" customHeight="1"/>
    <row r="819" spans="8:8" ht="15.75" customHeight="1"/>
    <row r="820" spans="8:8" ht="15.75" customHeight="1"/>
    <row r="821" spans="8:8" ht="15.75" customHeight="1"/>
    <row r="822" spans="8:8" ht="15.75" customHeight="1"/>
    <row r="823" spans="8:8" ht="15.75" customHeight="1"/>
    <row r="824" spans="8:8" ht="15.75" customHeight="1"/>
    <row r="825" spans="8:8" ht="15.75" customHeight="1"/>
    <row r="826" spans="8:8" ht="15.75" customHeight="1"/>
    <row r="827" spans="8:8" ht="15.75" customHeight="1"/>
    <row r="828" spans="8:8" ht="15.75" customHeight="1"/>
    <row r="829" spans="8:8" ht="15.75" customHeight="1"/>
    <row r="830" spans="8:8" ht="15.75" customHeight="1"/>
    <row r="831" spans="8:8" ht="15.75" customHeight="1"/>
    <row r="832" spans="8:8" ht="15.75" customHeight="1"/>
    <row r="833" spans="8:8" ht="15.75" customHeight="1"/>
    <row r="834" spans="8:8" ht="15.75" customHeight="1"/>
    <row r="835" spans="8:8" ht="15.75" customHeight="1"/>
    <row r="836" spans="8:8" ht="15.75" customHeight="1"/>
    <row r="837" spans="8:8" ht="15.75" customHeight="1"/>
    <row r="838" spans="8:8" ht="15.75" customHeight="1"/>
    <row r="839" spans="8:8" ht="15.75" customHeight="1"/>
    <row r="840" spans="8:8" ht="15.75" customHeight="1"/>
    <row r="841" spans="8:8" ht="15.75" customHeight="1"/>
    <row r="842" spans="8:8" ht="15.75" customHeight="1"/>
    <row r="843" spans="8:8" ht="15.75" customHeight="1"/>
    <row r="844" spans="8:8" ht="15.75" customHeight="1"/>
    <row r="845" spans="8:8" ht="15.75" customHeight="1"/>
    <row r="846" spans="8:8" ht="15.75" customHeight="1"/>
    <row r="847" spans="8:8" ht="15.75" customHeight="1"/>
    <row r="848" spans="8:8" ht="15.75" customHeight="1"/>
    <row r="849" spans="8:8" ht="15.75" customHeight="1"/>
    <row r="850" spans="8:8" ht="15.75" customHeight="1"/>
    <row r="851" spans="8:8" ht="15.75" customHeight="1"/>
    <row r="852" spans="8:8" ht="15.75" customHeight="1"/>
    <row r="853" spans="8:8" ht="15.75" customHeight="1"/>
    <row r="854" spans="8:8" ht="15.75" customHeight="1"/>
    <row r="855" spans="8:8" ht="15.75" customHeight="1"/>
    <row r="856" spans="8:8" ht="15.75" customHeight="1"/>
    <row r="857" spans="8:8" ht="15.75" customHeight="1"/>
    <row r="858" spans="8:8" ht="15.75" customHeight="1"/>
    <row r="859" spans="8:8" ht="15.75" customHeight="1"/>
    <row r="860" spans="8:8" ht="15.75" customHeight="1"/>
    <row r="861" spans="8:8" ht="15.75" customHeight="1"/>
    <row r="862" spans="8:8" ht="15.75" customHeight="1"/>
    <row r="863" spans="8:8" ht="15.75" customHeight="1"/>
    <row r="864" spans="8:8" ht="15.75" customHeight="1"/>
    <row r="865" spans="8:8" ht="15.75" customHeight="1"/>
    <row r="866" spans="8:8" ht="15.75" customHeight="1"/>
    <row r="867" spans="8:8" ht="15.75" customHeight="1"/>
    <row r="868" spans="8:8" ht="15.75" customHeight="1"/>
    <row r="869" spans="8:8" ht="15.75" customHeight="1"/>
    <row r="870" spans="8:8" ht="15.75" customHeight="1"/>
    <row r="871" spans="8:8" ht="15.75" customHeight="1"/>
    <row r="872" spans="8:8" ht="15.75" customHeight="1"/>
    <row r="873" spans="8:8" ht="15.75" customHeight="1"/>
    <row r="874" spans="8:8" ht="15.75" customHeight="1"/>
    <row r="875" spans="8:8" ht="15.75" customHeight="1"/>
    <row r="876" spans="8:8" ht="15.75" customHeight="1"/>
    <row r="877" spans="8:8" ht="15.75" customHeight="1"/>
    <row r="878" spans="8:8" ht="15.75" customHeight="1"/>
    <row r="879" spans="8:8" ht="15.75" customHeight="1"/>
    <row r="880" spans="8:8" ht="15.75" customHeight="1"/>
    <row r="881" spans="8:8" ht="15.75" customHeight="1"/>
    <row r="882" spans="8:8" ht="15.75" customHeight="1"/>
    <row r="883" spans="8:8" ht="15.75" customHeight="1"/>
    <row r="884" spans="8:8" ht="15.75" customHeight="1"/>
    <row r="885" spans="8:8" ht="15.75" customHeight="1"/>
    <row r="886" spans="8:8" ht="15.75" customHeight="1"/>
    <row r="887" spans="8:8" ht="15.75" customHeight="1"/>
    <row r="888" spans="8:8" ht="15.75" customHeight="1"/>
    <row r="889" spans="8:8" ht="15.75" customHeight="1"/>
    <row r="890" spans="8:8" ht="15.75" customHeight="1"/>
    <row r="891" spans="8:8" ht="15.75" customHeight="1"/>
    <row r="892" spans="8:8" ht="15.75" customHeight="1"/>
    <row r="893" spans="8:8" ht="15.75" customHeight="1"/>
    <row r="894" spans="8:8" ht="15.75" customHeight="1"/>
    <row r="895" spans="8:8" ht="15.75" customHeight="1"/>
    <row r="896" spans="8:8" ht="15.75" customHeight="1"/>
    <row r="897" spans="8:8" ht="15.75" customHeight="1"/>
    <row r="898" spans="8:8" ht="15.75" customHeight="1"/>
    <row r="899" spans="8:8" ht="15.75" customHeight="1"/>
    <row r="900" spans="8:8" ht="15.75" customHeight="1"/>
    <row r="901" spans="8:8" ht="15.75" customHeight="1"/>
    <row r="902" spans="8:8" ht="15.75" customHeight="1"/>
    <row r="903" spans="8:8" ht="15.75" customHeight="1"/>
    <row r="904" spans="8:8" ht="15.75" customHeight="1"/>
    <row r="905" spans="8:8" ht="15.75" customHeight="1"/>
    <row r="906" spans="8:8" ht="15.75" customHeight="1"/>
    <row r="907" spans="8:8" ht="15.75" customHeight="1"/>
    <row r="908" spans="8:8" ht="15.75" customHeight="1"/>
    <row r="909" spans="8:8" ht="15.75" customHeight="1"/>
    <row r="910" spans="8:8" ht="15.75" customHeight="1"/>
    <row r="911" spans="8:8" ht="15.75" customHeight="1"/>
    <row r="912" spans="8:8" ht="15.75" customHeight="1"/>
    <row r="913" spans="8:8" ht="15.75" customHeight="1"/>
    <row r="914" spans="8:8" ht="15.75" customHeight="1"/>
    <row r="915" spans="8:8" ht="15.75" customHeight="1"/>
    <row r="916" spans="8:8" ht="15.75" customHeight="1"/>
    <row r="917" spans="8:8" ht="15.75" customHeight="1"/>
    <row r="918" spans="8:8" ht="15.75" customHeight="1"/>
    <row r="919" spans="8:8" ht="15.75" customHeight="1"/>
    <row r="920" spans="8:8" ht="15.75" customHeight="1"/>
    <row r="921" spans="8:8" ht="15.75" customHeight="1"/>
    <row r="922" spans="8:8" ht="15.75" customHeight="1"/>
    <row r="923" spans="8:8" ht="15.75" customHeight="1"/>
    <row r="924" spans="8:8" ht="15.75" customHeight="1"/>
    <row r="925" spans="8:8" ht="15.75" customHeight="1"/>
    <row r="926" spans="8:8" ht="15.75" customHeight="1"/>
    <row r="927" spans="8:8" ht="15.75" customHeight="1"/>
    <row r="928" spans="8:8" ht="15.75" customHeight="1"/>
    <row r="929" spans="8:8" ht="15.75" customHeight="1"/>
    <row r="930" spans="8:8" ht="15.75" customHeight="1"/>
    <row r="931" spans="8:8" ht="15.75" customHeight="1"/>
    <row r="932" spans="8:8" ht="15.75" customHeight="1"/>
    <row r="933" spans="8:8" ht="15.75" customHeight="1"/>
    <row r="934" spans="8:8" ht="15.75" customHeight="1"/>
    <row r="935" spans="8:8" ht="15.75" customHeight="1"/>
    <row r="936" spans="8:8" ht="15.75" customHeight="1"/>
    <row r="937" spans="8:8" ht="15.75" customHeight="1"/>
    <row r="938" spans="8:8" ht="15.75" customHeight="1"/>
    <row r="939" spans="8:8" ht="15.75" customHeight="1"/>
    <row r="940" spans="8:8" ht="15.75" customHeight="1"/>
    <row r="941" spans="8:8" ht="15.75" customHeight="1"/>
    <row r="942" spans="8:8" ht="15.75" customHeight="1"/>
    <row r="943" spans="8:8" ht="15.75" customHeight="1"/>
    <row r="944" spans="8:8" ht="15.75" customHeight="1"/>
    <row r="945" spans="8:8" ht="15.75" customHeight="1"/>
    <row r="946" spans="8:8" ht="15.75" customHeight="1"/>
    <row r="947" spans="8:8" ht="15.75" customHeight="1"/>
    <row r="948" spans="8:8" ht="15.75" customHeight="1"/>
    <row r="949" spans="8:8" ht="15.75" customHeight="1"/>
    <row r="950" spans="8:8" ht="15.75" customHeight="1"/>
    <row r="951" spans="8:8" ht="15.75" customHeight="1"/>
    <row r="952" spans="8:8" ht="15.75" customHeight="1"/>
    <row r="953" spans="8:8" ht="15.75" customHeight="1"/>
    <row r="954" spans="8:8" ht="15.75" customHeight="1"/>
    <row r="955" spans="8:8" ht="15.75" customHeight="1"/>
    <row r="956" spans="8:8" ht="15.75" customHeight="1"/>
    <row r="957" spans="8:8" ht="15.75" customHeight="1"/>
    <row r="958" spans="8:8" ht="15.75" customHeight="1"/>
    <row r="959" spans="8:8" ht="15.75" customHeight="1"/>
    <row r="960" spans="8:8" ht="15.75" customHeight="1"/>
    <row r="961" spans="8:8" ht="15.75" customHeight="1"/>
    <row r="962" spans="8:8" ht="15.75" customHeight="1"/>
    <row r="963" spans="8:8" ht="15.75" customHeight="1"/>
    <row r="964" spans="8:8" ht="15.75" customHeight="1"/>
    <row r="965" spans="8:8" ht="15.75" customHeight="1"/>
    <row r="966" spans="8:8" ht="15.75" customHeight="1"/>
    <row r="967" spans="8:8" ht="15.75" customHeight="1"/>
    <row r="968" spans="8:8" ht="15.75" customHeight="1"/>
    <row r="969" spans="8:8" ht="15.75" customHeight="1"/>
    <row r="970" spans="8:8" ht="15.75" customHeight="1"/>
    <row r="971" spans="8:8" ht="15.75" customHeight="1"/>
    <row r="972" spans="8:8" ht="15.75" customHeight="1"/>
    <row r="973" spans="8:8" ht="15.75" customHeight="1"/>
    <row r="974" spans="8:8" ht="15.75" customHeight="1"/>
    <row r="975" spans="8:8" ht="15.75" customHeight="1"/>
    <row r="976" spans="8:8" ht="15.75" customHeight="1"/>
    <row r="977" spans="8:8" ht="15.75" customHeight="1"/>
    <row r="978" spans="8:8" ht="15.75" customHeight="1"/>
    <row r="979" spans="8:8" ht="15.75" customHeight="1"/>
    <row r="980" spans="8:8" ht="15.75" customHeight="1"/>
    <row r="981" spans="8:8" ht="15.75" customHeight="1"/>
    <row r="982" spans="8:8" ht="15.75" customHeight="1"/>
    <row r="983" spans="8:8" ht="15.75" customHeight="1"/>
    <row r="984" spans="8:8" ht="15.75" customHeight="1"/>
    <row r="985" spans="8:8" ht="15.75" customHeight="1"/>
    <row r="986" spans="8:8" ht="15.75" customHeight="1"/>
    <row r="987" spans="8:8" ht="15.75" customHeight="1"/>
    <row r="988" spans="8:8" ht="15.75" customHeight="1"/>
    <row r="989" spans="8:8" ht="15.75" customHeight="1"/>
    <row r="990" spans="8:8" ht="15.75" customHeight="1"/>
    <row r="991" spans="8:8" ht="15.75" customHeight="1"/>
    <row r="992" spans="8:8" ht="15.75" customHeight="1"/>
    <row r="993" spans="8:8" ht="15.75" customHeight="1"/>
    <row r="994" spans="8:8" ht="15.75" customHeight="1"/>
    <row r="995" spans="8:8" ht="15.75" customHeight="1"/>
    <row r="996" spans="8:8" ht="15.75" customHeight="1"/>
    <row r="997" spans="8:8" ht="15.75" customHeight="1"/>
    <row r="998" spans="8:8" ht="15.75" customHeight="1"/>
    <row r="999" spans="8:8" ht="15.75" customHeight="1"/>
    <row r="1000" spans="8:8" ht="15.75" customHeight="1"/>
  </sheetData>
  <mergeCells count="1">
    <mergeCell ref="A1:A2"/>
  </mergeCells>
  <pageMargins left="0.7" right="0.7" top="0.75" bottom="0.75" header="0.0" footer="0.0"/>
  <pageSetup paperSize="9" fitToWidth="0" fitToHeight="0" orientation="landscape"/>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Gerardo Galan Cruz</dc:creator>
  <cp:lastModifiedBy>Alexander Sáez</cp:lastModifiedBy>
  <dcterms:created xsi:type="dcterms:W3CDTF">2023-08-07T08:08:01Z</dcterms:created>
  <dcterms:modified xsi:type="dcterms:W3CDTF">2026-10-21T22:27:32Z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46680b224dc64437a2111d5b50572a8b_23</vt:lpwstr>
  </property>
</Properties>
</file>